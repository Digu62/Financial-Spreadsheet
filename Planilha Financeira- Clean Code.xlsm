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pivotTables/pivotTable4.xml" ContentType="application/vnd.openxmlformats-officedocument.spreadsheetml.pivotTable+xml"/>
  <Override PartName="/xl/tables/table2.xml" ContentType="application/vnd.openxmlformats-officedocument.spreadsheetml.table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worksheets/sheet7.xml" ContentType="application/vnd.openxmlformats-officedocument.spreadsheetml.workshee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pivotCache/pivotCacheDefinition4.xml" ContentType="application/vnd.openxmlformats-officedocument.spreadsheetml.pivotCacheDefinition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5.xml" ContentType="application/vnd.openxmlformats-officedocument.spreadsheetml.pivotCacheRecords+xml"/>
  <Default Extension="vml" ContentType="application/vnd.openxmlformats-officedocument.vmlDrawing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pivotCache/pivotCacheRecords3.xml" ContentType="application/vnd.openxmlformats-officedocument.spreadsheetml.pivotCacheRecords+xml"/>
  <Override PartName="/xl/pivotCache/pivotCacheRecords4.xml" ContentType="application/vnd.openxmlformats-officedocument.spreadsheetml.pivotCacheRecords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pivotTables/pivotTable5.xml" ContentType="application/vnd.openxmlformats-officedocument.spreadsheetml.pivotTable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omments7.xml" ContentType="application/vnd.openxmlformats-officedocument.spreadsheetml.comments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pivotCache/pivotCacheDefinition5.xml" ContentType="application/vnd.openxmlformats-officedocument.spreadsheetml.pivotCacheDefinition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EstaPasta_de_trabalho" hidePivotFieldList="1"/>
  <bookViews>
    <workbookView xWindow="-120" yWindow="-120" windowWidth="19440" windowHeight="7110" tabRatio="889"/>
  </bookViews>
  <sheets>
    <sheet name="Dashboard" sheetId="16" r:id="rId1"/>
    <sheet name="Tabelas Dinâmicas" sheetId="17" r:id="rId2"/>
    <sheet name="Base de Dados" sheetId="9" r:id="rId3"/>
    <sheet name="Deposito" sheetId="4" r:id="rId4"/>
    <sheet name="Saque" sheetId="6" r:id="rId5"/>
    <sheet name="Emprestimo" sheetId="5" r:id="rId6"/>
    <sheet name="Movimentações" sheetId="14" r:id="rId7"/>
    <sheet name="Pagamentos" sheetId="18" r:id="rId8"/>
    <sheet name="Parcelamentos" sheetId="15" r:id="rId9"/>
  </sheets>
  <functionGroups/>
  <definedNames>
    <definedName name="DATA">#REF!</definedName>
    <definedName name="DATA_DEPOSITO">#REF!</definedName>
    <definedName name="FIM_DEPOSITOS">#REF!</definedName>
    <definedName name="FIM_DIV_MENSAL">'Base de Dados'!$F$8</definedName>
    <definedName name="FIM_PERC_RECEITA">'Base de Dados'!$I$8</definedName>
    <definedName name="FIM_VAL_TOT">'Base de Dados'!$C$8</definedName>
    <definedName name="FIMVALTOT">'Base de Dados'!$C$8</definedName>
    <definedName name="INICIO_DIV_MENSAL">'Base de Dados'!$F$2</definedName>
    <definedName name="INICIO_PERC_RECEITA">'Base de Dados'!$I$2</definedName>
    <definedName name="INICIO_VAL_TOT">'Base de Dados'!$C$2</definedName>
    <definedName name="INICIOVALTOT">'Base de Dados'!$C$2</definedName>
    <definedName name="MODALITIES">'Base de Dados'!$C$3:$C$7</definedName>
    <definedName name="OPERACA">#REF!</definedName>
    <definedName name="OPERACAO">#REF!</definedName>
    <definedName name="Password">'Base de Dados'!$J$12</definedName>
    <definedName name="TESTE">#REF!</definedName>
    <definedName name="Username">'Base de Dados'!$J$11</definedName>
  </definedNames>
  <calcPr calcId="125725"/>
  <pivotCaches>
    <pivotCache cacheId="217" r:id="rId10"/>
    <pivotCache cacheId="220" r:id="rId11"/>
    <pivotCache cacheId="223" r:id="rId12"/>
    <pivotCache cacheId="226" r:id="rId13"/>
    <pivotCache cacheId="229" r:id="rId14"/>
  </pivotCaches>
</workbook>
</file>

<file path=xl/calcChain.xml><?xml version="1.0" encoding="utf-8"?>
<calcChain xmlns="http://schemas.openxmlformats.org/spreadsheetml/2006/main">
  <c r="O5" i="5"/>
  <c r="N5"/>
  <c r="M5"/>
  <c r="L5"/>
  <c r="K5"/>
  <c r="I6" i="4"/>
  <c r="H6"/>
  <c r="G6"/>
  <c r="F6"/>
  <c r="E6"/>
  <c r="J8" i="9"/>
  <c r="K6" i="6"/>
  <c r="J6"/>
  <c r="I6"/>
  <c r="H6"/>
  <c r="J6" i="4" l="1"/>
  <c r="P5" i="5"/>
  <c r="G15" i="9"/>
  <c r="G17"/>
  <c r="G16" l="1"/>
  <c r="I7" i="14" l="1"/>
  <c r="H7"/>
  <c r="G7"/>
  <c r="F7"/>
  <c r="E7"/>
  <c r="D5" i="9" l="1"/>
  <c r="D4"/>
  <c r="D3"/>
  <c r="E4" i="15" l="1"/>
  <c r="C4" s="1"/>
  <c r="C6" i="18"/>
  <c r="B6" s="1"/>
  <c r="C6" i="14"/>
  <c r="B6" s="1"/>
  <c r="C5" i="5" l="1"/>
  <c r="B5" s="1"/>
  <c r="C5" i="6" l="1"/>
  <c r="B5" s="1"/>
  <c r="C5" i="4"/>
  <c r="B5" s="1"/>
  <c r="G8" i="9"/>
  <c r="G7"/>
  <c r="G6"/>
  <c r="G5"/>
  <c r="G4"/>
  <c r="G3"/>
  <c r="D6"/>
  <c r="M6" i="6"/>
  <c r="L6"/>
  <c r="D7" i="9" s="1"/>
  <c r="D8" l="1"/>
  <c r="G12" s="1"/>
  <c r="G13" l="1"/>
  <c r="G14" s="1"/>
</calcChain>
</file>

<file path=xl/comments1.xml><?xml version="1.0" encoding="utf-8"?>
<comments xmlns="http://schemas.openxmlformats.org/spreadsheetml/2006/main">
  <authors>
    <author>Autor</author>
  </authors>
  <commentList>
    <comment ref="C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Contem o total  dos valores aplicados em investimentos de baixo risco e alta liquidez, para que possam ser retirados rapidamente quando precisarem ser usados.</t>
        </r>
      </text>
    </comment>
    <comment ref="F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Valores calculados para as devidas porcentagens da receita informada
.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Porcentagem que totalizam 1.0, divídidas entre objetivos próprios para divisão do dinheiro recebido.</t>
        </r>
      </text>
    </comment>
    <comment ref="M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É o valor determinado ao credito gasto no mês. Ao se fazer um saque nestá modalidade o valor deixará de ser contabilizado como saldo e será contabilizado como crédito.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Prioridade de 1 a 5 para definir de quais modalidade deve ser retirado o saque, sendo 1 maior prioridade para o saque e 5 a menor.</t>
        </r>
      </text>
    </comment>
    <comment ref="F12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saldo bruto leva em consideração o total de dinheiro, o valor separado para pagamento do credito no mês vigente e o valor separado para credito dos meses seguintes.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E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H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K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L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M7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4.xml><?xml version="1.0" encoding="utf-8"?>
<comments xmlns="http://schemas.openxmlformats.org/spreadsheetml/2006/main">
  <authors>
    <author>Autor</author>
  </authors>
  <commentList>
    <comment ref="K3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tendem a zero a medida que os emprestimos vão sendo pagos.</t>
        </r>
      </text>
    </comment>
    <comment ref="K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4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situação do emprestimo. Pago ou Não pago</t>
        </r>
      </text>
    </comment>
    <comment ref="C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Responsável pelo emprestimo.</t>
        </r>
      </text>
    </comment>
    <comment ref="D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emprestimo.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de devolução prevista para os emprestimos.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K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M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N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Os valores de Gastos Circunstânciais, Metas e Família no geral não possuem saida imediata então poder se aplicados em ativos de baixo risco e alta liquidez. Somando então essa aplicação ao saldo de aplicações financeiras temos o total investido.</t>
        </r>
      </text>
    </comment>
  </commentList>
</comments>
</file>

<file path=xl/comments5.xml><?xml version="1.0" encoding="utf-8"?>
<comments xmlns="http://schemas.openxmlformats.org/spreadsheetml/2006/main">
  <authors>
    <author>Autor</author>
  </authors>
  <commentList>
    <comment ref="E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  <comment ref="E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objetivos pessoais. Alimentação, compras e etc. Pode ser unido a "Metas" para complementa-la.</t>
        </r>
      </text>
    </comment>
    <comment ref="F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aplicações financeiras.</t>
        </r>
      </text>
    </comment>
    <comment ref="G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cituações emergenciais e gastos não previstos.</t>
        </r>
      </text>
    </comment>
    <comment ref="H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Valor reservado para metas de medio a longo prazo.</t>
        </r>
      </text>
    </comment>
    <comment ref="I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Gastos voltados para família e amigos. Presentes, emprestimos, etc.</t>
        </r>
      </text>
    </comment>
  </commentList>
</comments>
</file>

<file path=xl/comments6.xml><?xml version="1.0" encoding="utf-8"?>
<comments xmlns="http://schemas.openxmlformats.org/spreadsheetml/2006/main">
  <authors>
    <author>Autor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Informa a data da realização do saque.</t>
        </r>
      </text>
    </comment>
    <comment ref="C8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comments7.xml><?xml version="1.0" encoding="utf-8"?>
<comments xmlns="http://schemas.openxmlformats.org/spreadsheetml/2006/main">
  <authors>
    <author>Autor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Inserir data da receita através da função "=Hoje()".</t>
        </r>
      </text>
    </comment>
    <comment ref="C5" author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Aqui devem ser inseridas as receitas manualmente para manter um histórico.</t>
        </r>
      </text>
    </comment>
  </commentList>
</comments>
</file>

<file path=xl/sharedStrings.xml><?xml version="1.0" encoding="utf-8"?>
<sst xmlns="http://schemas.openxmlformats.org/spreadsheetml/2006/main" count="264" uniqueCount="75">
  <si>
    <t>Gastos Pessoais</t>
  </si>
  <si>
    <t>Aplicações Financeiras</t>
  </si>
  <si>
    <t>Gastos Circunstanciais</t>
  </si>
  <si>
    <t>Metas</t>
  </si>
  <si>
    <t>Familia</t>
  </si>
  <si>
    <t>Receita Final</t>
  </si>
  <si>
    <t>Procentagens da receita</t>
  </si>
  <si>
    <t>Divisão da Receita Mensal</t>
  </si>
  <si>
    <t>Data</t>
  </si>
  <si>
    <t>Total</t>
  </si>
  <si>
    <t>Total Investido</t>
  </si>
  <si>
    <t>Valor</t>
  </si>
  <si>
    <t>Descrição</t>
  </si>
  <si>
    <t>Tipo</t>
  </si>
  <si>
    <t>Banco de Dados</t>
  </si>
  <si>
    <t>Data Devolução</t>
  </si>
  <si>
    <t>Data Devolução Prevista</t>
  </si>
  <si>
    <t>Situação</t>
  </si>
  <si>
    <t>Data Emprestimo</t>
  </si>
  <si>
    <t>Valores Retirados</t>
  </si>
  <si>
    <t>Total Emprestimo</t>
  </si>
  <si>
    <t>Responsável</t>
  </si>
  <si>
    <t>Emprestimos</t>
  </si>
  <si>
    <t>Saques</t>
  </si>
  <si>
    <t>Data Saque</t>
  </si>
  <si>
    <t>Total Saque</t>
  </si>
  <si>
    <t>Valores Totais Aplicados</t>
  </si>
  <si>
    <t>-</t>
  </si>
  <si>
    <t>Depositos</t>
  </si>
  <si>
    <t>Valores Depositados</t>
  </si>
  <si>
    <t>Calculadora de Saque</t>
  </si>
  <si>
    <t>Index</t>
  </si>
  <si>
    <t xml:space="preserve"> </t>
  </si>
  <si>
    <t>Valor do Emprestimo</t>
  </si>
  <si>
    <t>Valor do Pagamento</t>
  </si>
  <si>
    <t>Pagamentos</t>
  </si>
  <si>
    <t>Ordem de Prioridade (Saque)</t>
  </si>
  <si>
    <t>Ordem de Prioridade(Pagamento)</t>
  </si>
  <si>
    <t>Valores</t>
  </si>
  <si>
    <t>Ano Atual</t>
  </si>
  <si>
    <t>Data atual</t>
  </si>
  <si>
    <t>Movimentações</t>
  </si>
  <si>
    <t>Valores Movimentados</t>
  </si>
  <si>
    <t>Devedores</t>
  </si>
  <si>
    <t>Nome</t>
  </si>
  <si>
    <t>Divida Ativa</t>
  </si>
  <si>
    <t>Divida Anistiada</t>
  </si>
  <si>
    <t>Parcelas Totais</t>
  </si>
  <si>
    <t>Parcelas Pagas</t>
  </si>
  <si>
    <t>Parcelamentos</t>
  </si>
  <si>
    <t>Valor do Parcelamento</t>
  </si>
  <si>
    <t>Valor da Parcela</t>
  </si>
  <si>
    <t>Valor Restante</t>
  </si>
  <si>
    <t>Percentuais</t>
  </si>
  <si>
    <t>Total geral</t>
  </si>
  <si>
    <t>Rótulos de Coluna</t>
  </si>
  <si>
    <t>Dívida</t>
  </si>
  <si>
    <t>Soma de Valor Restante</t>
  </si>
  <si>
    <t>Rótulos de Linha</t>
  </si>
  <si>
    <t>Soma de Valor</t>
  </si>
  <si>
    <t>Saldo Bruto</t>
  </si>
  <si>
    <t>Saldo Líquido</t>
  </si>
  <si>
    <t>Saldo Hipotético</t>
  </si>
  <si>
    <t>Saldo</t>
  </si>
  <si>
    <t>Soma de Saldo</t>
  </si>
  <si>
    <t>Soma de Valores2</t>
  </si>
  <si>
    <t>Data Pagamento</t>
  </si>
  <si>
    <t>Banco</t>
  </si>
  <si>
    <t>Devedor</t>
  </si>
  <si>
    <t>Crédito Pessoal</t>
  </si>
  <si>
    <t>Credito Emprestado</t>
  </si>
  <si>
    <t>Crédito Total</t>
  </si>
  <si>
    <t>Crédito Emprestado</t>
  </si>
  <si>
    <t>Usuario</t>
  </si>
  <si>
    <t>Senha</t>
  </si>
</sst>
</file>

<file path=xl/styles.xml><?xml version="1.0" encoding="utf-8"?>
<styleSheet xmlns="http://schemas.openxmlformats.org/spreadsheetml/2006/main">
  <numFmts count="6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&quot;R$&quot;#,##0.00"/>
    <numFmt numFmtId="165" formatCode="&quot;R$&quot;\ #,##0.00"/>
    <numFmt numFmtId="166" formatCode="yyyy"/>
    <numFmt numFmtId="167" formatCode=";;;"/>
  </numFmts>
  <fonts count="2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sz val="20"/>
      <color indexed="8"/>
      <name val="Calibri"/>
      <family val="2"/>
    </font>
    <font>
      <sz val="20"/>
      <color theme="0"/>
      <name val="Calibri"/>
      <family val="2"/>
      <scheme val="minor"/>
    </font>
    <font>
      <sz val="20"/>
      <color indexed="8"/>
      <name val="Calibri"/>
    </font>
    <font>
      <sz val="20"/>
      <color indexed="8"/>
      <name val="Calibri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theme="0" tint="-0.14999847407452621"/>
      </patternFill>
    </fill>
    <fill>
      <patternFill patternType="solid">
        <fgColor rgb="FFCC3300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159">
    <xf numFmtId="0" fontId="0" fillId="0" borderId="0" xfId="0"/>
    <xf numFmtId="44" fontId="0" fillId="0" borderId="0" xfId="0" applyNumberFormat="1"/>
    <xf numFmtId="0" fontId="1" fillId="2" borderId="5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7" fontId="0" fillId="0" borderId="0" xfId="0" applyNumberFormat="1"/>
    <xf numFmtId="0" fontId="8" fillId="11" borderId="6" xfId="0" applyFont="1" applyFill="1" applyBorder="1" applyAlignment="1">
      <alignment vertical="center"/>
    </xf>
    <xf numFmtId="0" fontId="0" fillId="0" borderId="0" xfId="0" applyAlignment="1"/>
    <xf numFmtId="0" fontId="0" fillId="2" borderId="1" xfId="0" applyFont="1" applyFill="1" applyBorder="1" applyAlignment="1" applyProtection="1">
      <alignment horizontal="center" vertical="center"/>
    </xf>
    <xf numFmtId="0" fontId="0" fillId="3" borderId="1" xfId="0" applyFont="1" applyFill="1" applyBorder="1" applyAlignment="1" applyProtection="1">
      <alignment horizontal="center" vertical="center"/>
    </xf>
    <xf numFmtId="0" fontId="0" fillId="4" borderId="3" xfId="0" applyFont="1" applyFill="1" applyBorder="1" applyAlignment="1" applyProtection="1">
      <alignment horizontal="center" vertical="center"/>
    </xf>
    <xf numFmtId="0" fontId="0" fillId="5" borderId="1" xfId="0" applyFont="1" applyFill="1" applyBorder="1" applyAlignment="1" applyProtection="1">
      <alignment horizontal="center" vertical="center"/>
    </xf>
    <xf numFmtId="0" fontId="0" fillId="6" borderId="1" xfId="0" applyFont="1" applyFill="1" applyBorder="1" applyAlignment="1" applyProtection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0" fillId="9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6" borderId="1" xfId="0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horizontal="center" vertical="center"/>
    </xf>
    <xf numFmtId="164" fontId="0" fillId="7" borderId="1" xfId="0" applyNumberFormat="1" applyFont="1" applyFill="1" applyBorder="1" applyAlignment="1">
      <alignment horizontal="center" vertical="center"/>
    </xf>
    <xf numFmtId="164" fontId="0" fillId="9" borderId="1" xfId="0" applyNumberFormat="1" applyFont="1" applyFill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0" fillId="14" borderId="1" xfId="0" applyFont="1" applyFill="1" applyBorder="1" applyAlignment="1">
      <alignment horizontal="center" vertical="center"/>
    </xf>
    <xf numFmtId="0" fontId="11" fillId="8" borderId="3" xfId="0" applyFont="1" applyFill="1" applyBorder="1" applyAlignment="1">
      <alignment horizontal="center" vertical="center"/>
    </xf>
    <xf numFmtId="0" fontId="0" fillId="9" borderId="9" xfId="0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0" fillId="0" borderId="0" xfId="0" applyBorder="1"/>
    <xf numFmtId="166" fontId="8" fillId="11" borderId="1" xfId="0" applyNumberFormat="1" applyFont="1" applyFill="1" applyBorder="1" applyAlignment="1">
      <alignment horizontal="center" vertical="center"/>
    </xf>
    <xf numFmtId="14" fontId="8" fillId="11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8" fillId="11" borderId="8" xfId="0" applyFont="1" applyFill="1" applyBorder="1" applyAlignment="1">
      <alignment vertical="center"/>
    </xf>
    <xf numFmtId="0" fontId="8" fillId="11" borderId="5" xfId="0" applyFont="1" applyFill="1" applyBorder="1" applyAlignment="1">
      <alignment horizontal="center" vertical="center"/>
    </xf>
    <xf numFmtId="165" fontId="0" fillId="0" borderId="2" xfId="0" applyNumberFormat="1" applyFont="1" applyBorder="1" applyAlignment="1">
      <alignment horizontal="center" vertical="center"/>
    </xf>
    <xf numFmtId="0" fontId="0" fillId="14" borderId="9" xfId="0" applyFont="1" applyFill="1" applyBorder="1" applyAlignment="1">
      <alignment horizontal="center" vertical="center"/>
    </xf>
    <xf numFmtId="165" fontId="0" fillId="0" borderId="10" xfId="0" applyNumberFormat="1" applyFont="1" applyBorder="1" applyAlignment="1">
      <alignment horizontal="center" vertical="center"/>
    </xf>
    <xf numFmtId="0" fontId="11" fillId="8" borderId="9" xfId="0" applyFont="1" applyFill="1" applyBorder="1" applyAlignment="1" applyProtection="1">
      <alignment horizontal="center"/>
    </xf>
    <xf numFmtId="0" fontId="8" fillId="11" borderId="11" xfId="0" applyFont="1" applyFill="1" applyBorder="1" applyAlignment="1">
      <alignment vertical="center"/>
    </xf>
    <xf numFmtId="0" fontId="8" fillId="11" borderId="0" xfId="0" applyFont="1" applyFill="1" applyBorder="1" applyAlignment="1">
      <alignment vertical="center"/>
    </xf>
    <xf numFmtId="0" fontId="8" fillId="11" borderId="14" xfId="0" applyFont="1" applyFill="1" applyBorder="1" applyAlignment="1">
      <alignment vertical="center"/>
    </xf>
    <xf numFmtId="0" fontId="8" fillId="11" borderId="15" xfId="0" applyFont="1" applyFill="1" applyBorder="1" applyAlignment="1">
      <alignment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vertical="center"/>
    </xf>
    <xf numFmtId="0" fontId="0" fillId="0" borderId="0" xfId="0" pivotButton="1"/>
    <xf numFmtId="0" fontId="0" fillId="8" borderId="0" xfId="0" applyFill="1"/>
    <xf numFmtId="9" fontId="0" fillId="0" borderId="0" xfId="2" applyFont="1"/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8" borderId="0" xfId="0" applyFont="1" applyFill="1" applyAlignment="1">
      <alignment horizontal="left"/>
    </xf>
    <xf numFmtId="0" fontId="0" fillId="8" borderId="0" xfId="0" applyNumberFormat="1" applyFill="1"/>
    <xf numFmtId="0" fontId="0" fillId="8" borderId="0" xfId="0" applyFill="1" applyAlignment="1">
      <alignment horizontal="left"/>
    </xf>
    <xf numFmtId="0" fontId="12" fillId="9" borderId="9" xfId="0" applyFont="1" applyFill="1" applyBorder="1" applyAlignment="1">
      <alignment horizontal="center" vertical="center"/>
    </xf>
    <xf numFmtId="165" fontId="12" fillId="0" borderId="10" xfId="0" applyNumberFormat="1" applyFont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7" borderId="8" xfId="0" applyFill="1" applyBorder="1" applyAlignment="1">
      <alignment horizontal="center" vertical="center"/>
    </xf>
    <xf numFmtId="0" fontId="0" fillId="18" borderId="8" xfId="0" applyFont="1" applyFill="1" applyBorder="1" applyAlignment="1">
      <alignment horizontal="center" vertical="center"/>
    </xf>
    <xf numFmtId="0" fontId="13" fillId="0" borderId="0" xfId="0" applyFont="1"/>
    <xf numFmtId="167" fontId="0" fillId="0" borderId="1" xfId="0" applyNumberFormat="1" applyBorder="1" applyAlignment="1">
      <alignment horizontal="center" vertical="center"/>
    </xf>
    <xf numFmtId="165" fontId="0" fillId="0" borderId="0" xfId="0" applyNumberFormat="1"/>
    <xf numFmtId="0" fontId="14" fillId="0" borderId="0" xfId="0" applyNumberFormat="1" applyFont="1" applyFill="1" applyBorder="1" applyAlignment="1" applyProtection="1"/>
    <xf numFmtId="9" fontId="0" fillId="9" borderId="1" xfId="2" applyFont="1" applyFill="1" applyBorder="1" applyAlignment="1">
      <alignment horizontal="center" vertical="center"/>
    </xf>
    <xf numFmtId="14" fontId="15" fillId="10" borderId="15" xfId="0" applyNumberFormat="1" applyFont="1" applyFill="1" applyBorder="1" applyAlignment="1">
      <alignment horizontal="center" vertical="center"/>
    </xf>
    <xf numFmtId="44" fontId="15" fillId="10" borderId="5" xfId="1" applyFont="1" applyFill="1" applyBorder="1" applyAlignment="1">
      <alignment horizontal="center" vertical="center"/>
    </xf>
    <xf numFmtId="0" fontId="15" fillId="10" borderId="5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6" borderId="5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horizontal="center" vertical="center"/>
    </xf>
    <xf numFmtId="0" fontId="18" fillId="10" borderId="15" xfId="0" applyFont="1" applyFill="1" applyBorder="1" applyAlignment="1">
      <alignment horizontal="center" vertical="center"/>
    </xf>
    <xf numFmtId="0" fontId="18" fillId="10" borderId="5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44" fontId="6" fillId="2" borderId="5" xfId="1" applyFont="1" applyFill="1" applyBorder="1" applyAlignment="1">
      <alignment horizontal="center" vertical="center"/>
    </xf>
    <xf numFmtId="44" fontId="6" fillId="3" borderId="5" xfId="1" applyFont="1" applyFill="1" applyBorder="1" applyAlignment="1">
      <alignment horizontal="center" vertical="center"/>
    </xf>
    <xf numFmtId="44" fontId="6" fillId="4" borderId="5" xfId="1" applyFont="1" applyFill="1" applyBorder="1" applyAlignment="1">
      <alignment horizontal="center" vertical="center"/>
    </xf>
    <xf numFmtId="44" fontId="6" fillId="5" borderId="5" xfId="1" applyFont="1" applyFill="1" applyBorder="1" applyAlignment="1">
      <alignment horizontal="center" vertical="center"/>
    </xf>
    <xf numFmtId="44" fontId="6" fillId="6" borderId="5" xfId="1" applyFont="1" applyFill="1" applyBorder="1" applyAlignment="1">
      <alignment horizontal="center" vertical="center"/>
    </xf>
    <xf numFmtId="44" fontId="6" fillId="12" borderId="5" xfId="1" applyFont="1" applyFill="1" applyBorder="1" applyAlignment="1">
      <alignment horizontal="center" vertical="center"/>
    </xf>
    <xf numFmtId="44" fontId="18" fillId="10" borderId="5" xfId="1" applyFont="1" applyFill="1" applyBorder="1" applyAlignment="1">
      <alignment horizontal="center" vertical="center"/>
    </xf>
    <xf numFmtId="44" fontId="18" fillId="10" borderId="4" xfId="1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vertical="center"/>
    </xf>
    <xf numFmtId="0" fontId="16" fillId="3" borderId="5" xfId="0" applyFont="1" applyFill="1" applyBorder="1" applyAlignment="1">
      <alignment vertical="center"/>
    </xf>
    <xf numFmtId="0" fontId="16" fillId="4" borderId="5" xfId="0" applyFont="1" applyFill="1" applyBorder="1" applyAlignment="1">
      <alignment vertical="center"/>
    </xf>
    <xf numFmtId="0" fontId="16" fillId="5" borderId="5" xfId="0" applyFont="1" applyFill="1" applyBorder="1" applyAlignment="1">
      <alignment vertical="center"/>
    </xf>
    <xf numFmtId="0" fontId="16" fillId="6" borderId="4" xfId="0" applyFont="1" applyFill="1" applyBorder="1" applyAlignment="1">
      <alignment vertical="center"/>
    </xf>
    <xf numFmtId="14" fontId="6" fillId="16" borderId="11" xfId="0" applyNumberFormat="1" applyFont="1" applyFill="1" applyBorder="1" applyAlignment="1">
      <alignment horizontal="center" vertical="center"/>
    </xf>
    <xf numFmtId="165" fontId="6" fillId="16" borderId="11" xfId="0" applyNumberFormat="1" applyFont="1" applyFill="1" applyBorder="1" applyAlignment="1">
      <alignment horizontal="center" vertical="center"/>
    </xf>
    <xf numFmtId="0" fontId="18" fillId="10" borderId="13" xfId="0" applyFont="1" applyFill="1" applyBorder="1" applyAlignment="1">
      <alignment horizontal="center" vertical="center"/>
    </xf>
    <xf numFmtId="0" fontId="18" fillId="10" borderId="7" xfId="0" applyFont="1" applyFill="1" applyBorder="1" applyAlignment="1">
      <alignment horizontal="center" vertical="center"/>
    </xf>
    <xf numFmtId="14" fontId="15" fillId="10" borderId="5" xfId="0" applyNumberFormat="1" applyFont="1" applyFill="1" applyBorder="1" applyAlignment="1">
      <alignment horizontal="center" vertical="center"/>
    </xf>
    <xf numFmtId="0" fontId="15" fillId="10" borderId="5" xfId="0" applyNumberFormat="1" applyFont="1" applyFill="1" applyBorder="1" applyAlignment="1">
      <alignment horizontal="center" vertical="center"/>
    </xf>
    <xf numFmtId="0" fontId="15" fillId="10" borderId="4" xfId="0" applyFont="1" applyFill="1" applyBorder="1" applyAlignment="1">
      <alignment horizontal="center" vertical="center"/>
    </xf>
    <xf numFmtId="0" fontId="17" fillId="19" borderId="0" xfId="0" applyNumberFormat="1" applyFont="1" applyFill="1" applyBorder="1" applyAlignment="1" applyProtection="1">
      <alignment horizontal="center" vertical="center"/>
    </xf>
    <xf numFmtId="165" fontId="17" fillId="19" borderId="0" xfId="1" applyNumberFormat="1" applyFont="1" applyFill="1" applyBorder="1" applyAlignment="1" applyProtection="1">
      <alignment horizontal="center" vertical="center"/>
    </xf>
    <xf numFmtId="14" fontId="17" fillId="19" borderId="0" xfId="0" applyNumberFormat="1" applyFont="1" applyFill="1" applyBorder="1" applyAlignment="1" applyProtection="1">
      <alignment horizontal="center" vertical="center"/>
    </xf>
    <xf numFmtId="44" fontId="17" fillId="19" borderId="0" xfId="1" applyFont="1" applyFill="1" applyBorder="1" applyAlignment="1" applyProtection="1">
      <alignment horizontal="center" vertical="center"/>
    </xf>
    <xf numFmtId="49" fontId="17" fillId="19" borderId="0" xfId="0" applyNumberFormat="1" applyFont="1" applyFill="1" applyBorder="1" applyAlignment="1" applyProtection="1">
      <alignment horizontal="left" vertical="center"/>
    </xf>
    <xf numFmtId="49" fontId="17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 applyProtection="1">
      <alignment horizontal="center" vertical="center"/>
    </xf>
    <xf numFmtId="165" fontId="19" fillId="19" borderId="0" xfId="1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left" vertical="center"/>
    </xf>
    <xf numFmtId="0" fontId="19" fillId="19" borderId="0" xfId="0" applyNumberFormat="1" applyFont="1" applyFill="1" applyBorder="1" applyAlignment="1" applyProtection="1">
      <alignment horizontal="center" vertical="center"/>
    </xf>
    <xf numFmtId="49" fontId="19" fillId="19" borderId="0" xfId="0" applyNumberFormat="1" applyFont="1" applyFill="1" applyBorder="1" applyAlignment="1" applyProtection="1">
      <alignment horizontal="center" vertical="center"/>
    </xf>
    <xf numFmtId="14" fontId="19" fillId="19" borderId="0" xfId="0" applyNumberFormat="1" applyFont="1" applyFill="1" applyBorder="1" applyAlignment="1">
      <alignment horizontal="center" vertical="center"/>
    </xf>
    <xf numFmtId="165" fontId="19" fillId="19" borderId="0" xfId="1" applyNumberFormat="1" applyFont="1" applyFill="1" applyBorder="1" applyAlignment="1">
      <alignment horizontal="center" vertical="center"/>
    </xf>
    <xf numFmtId="49" fontId="19" fillId="19" borderId="0" xfId="0" applyNumberFormat="1" applyFont="1" applyFill="1" applyBorder="1" applyAlignment="1">
      <alignment horizontal="center" vertical="center"/>
    </xf>
    <xf numFmtId="0" fontId="19" fillId="19" borderId="0" xfId="0" applyNumberFormat="1" applyFont="1" applyFill="1" applyBorder="1" applyAlignment="1">
      <alignment horizontal="center" vertical="center"/>
    </xf>
    <xf numFmtId="0" fontId="2" fillId="10" borderId="14" xfId="0" applyFont="1" applyFill="1" applyBorder="1" applyAlignment="1">
      <alignment horizontal="center" vertical="center"/>
    </xf>
    <xf numFmtId="0" fontId="8" fillId="11" borderId="4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7" fillId="11" borderId="2" xfId="0" applyFont="1" applyFill="1" applyBorder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11" borderId="3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12" xfId="0" applyFont="1" applyFill="1" applyBorder="1" applyAlignment="1">
      <alignment horizontal="center" vertical="center"/>
    </xf>
    <xf numFmtId="0" fontId="8" fillId="11" borderId="0" xfId="0" applyFont="1" applyFill="1" applyBorder="1" applyAlignment="1">
      <alignment horizontal="center" vertical="center"/>
    </xf>
    <xf numFmtId="0" fontId="8" fillId="11" borderId="13" xfId="0" applyFont="1" applyFill="1" applyBorder="1" applyAlignment="1">
      <alignment horizontal="center" vertical="center"/>
    </xf>
    <xf numFmtId="0" fontId="8" fillId="11" borderId="2" xfId="0" applyFont="1" applyFill="1" applyBorder="1" applyAlignment="1">
      <alignment horizontal="center" vertical="center"/>
    </xf>
    <xf numFmtId="0" fontId="0" fillId="0" borderId="6" xfId="0" applyBorder="1"/>
    <xf numFmtId="0" fontId="0" fillId="0" borderId="3" xfId="0" applyBorder="1"/>
    <xf numFmtId="0" fontId="10" fillId="11" borderId="6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44" fontId="0" fillId="0" borderId="3" xfId="1" applyFont="1" applyBorder="1" applyAlignment="1">
      <alignment horizontal="center" vertical="center"/>
    </xf>
    <xf numFmtId="0" fontId="9" fillId="13" borderId="1" xfId="0" applyFont="1" applyFill="1" applyBorder="1" applyAlignment="1">
      <alignment horizontal="center"/>
    </xf>
    <xf numFmtId="0" fontId="10" fillId="11" borderId="1" xfId="0" applyFont="1" applyFill="1" applyBorder="1" applyAlignment="1">
      <alignment horizontal="center" vertical="center"/>
    </xf>
    <xf numFmtId="0" fontId="9" fillId="13" borderId="2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9" fillId="13" borderId="12" xfId="0" applyFont="1" applyFill="1" applyBorder="1" applyAlignment="1">
      <alignment horizontal="center"/>
    </xf>
    <xf numFmtId="49" fontId="20" fillId="19" borderId="0" xfId="0" applyNumberFormat="1" applyFont="1" applyFill="1" applyBorder="1" applyAlignment="1" applyProtection="1">
      <alignment horizontal="center" vertical="center"/>
    </xf>
    <xf numFmtId="14" fontId="20" fillId="19" borderId="0" xfId="0" applyNumberFormat="1" applyFont="1" applyFill="1" applyBorder="1" applyAlignment="1" applyProtection="1">
      <alignment horizontal="center" vertical="center"/>
    </xf>
    <xf numFmtId="165" fontId="20" fillId="19" borderId="0" xfId="1" applyNumberFormat="1" applyFont="1" applyFill="1" applyBorder="1" applyAlignment="1" applyProtection="1">
      <alignment horizontal="center" vertical="center"/>
    </xf>
    <xf numFmtId="0" fontId="20" fillId="19" borderId="0" xfId="0" applyNumberFormat="1" applyFont="1" applyFill="1" applyBorder="1" applyAlignment="1" applyProtection="1">
      <alignment horizontal="center" vertical="center"/>
    </xf>
    <xf numFmtId="49" fontId="20" fillId="19" borderId="0" xfId="0" applyNumberFormat="1" applyFont="1" applyFill="1" applyBorder="1" applyAlignment="1" applyProtection="1">
      <alignment horizontal="left" vertical="center"/>
    </xf>
    <xf numFmtId="14" fontId="20" fillId="19" borderId="0" xfId="1" applyNumberFormat="1" applyFont="1" applyFill="1" applyBorder="1" applyAlignment="1" applyProtection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18"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5" formatCode="&quot;R$&quot;\ #,##0.00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9" formatCode="dd/mm/yyyy"/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name val="Calibri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left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65" formatCode="&quot;R$&quot;\ #,##0.00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19" formatCode="dd/mm/yyyy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numFmt numFmtId="30" formatCode="@"/>
      <fill>
        <patternFill patternType="solid">
          <fgColor indexed="64"/>
          <bgColor rgb="FFFFFFFF"/>
        </patternFill>
      </fill>
      <alignment horizontal="center" vertical="center" textRotation="0" wrapText="0" indent="0" relativeIndent="255" justifyLastLine="0" shrinkToFit="0" mergeCell="0" readingOrder="0"/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protection locked="1" hidden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theme="0" tint="-0.14999847407452621"/>
          <bgColor rgb="FFFFFFFF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/>
      </border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color indexed="8"/>
        <name val="Calibri"/>
        <scheme val="none"/>
      </font>
      <alignment horizontal="center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auto="1"/>
        <name val="Calibri"/>
        <scheme val="minor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20"/>
        <name val="Calibri"/>
        <scheme val="none"/>
      </font>
      <fill>
        <patternFill>
          <fgColor indexed="64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top/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&quot;R$&quot;\ #,##0.0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255" justifyLastLine="0" shrinkToFit="0" mergeCell="0" readingOrder="0"/>
      <border diagonalUp="0" diagonalDown="0" outline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</dxfs>
  <tableStyles count="2" defaultTableStyle="TableStyleMedium2" defaultPivotStyle="PivotStyleLight16">
    <tableStyle name="Estilo de Tabela 1" pivot="0" count="0"/>
    <tableStyle name="Estilo de Tabela 2" pivot="0" count="0"/>
  </tableStyles>
  <colors>
    <mruColors>
      <color rgb="FF0A0141"/>
      <color rgb="FF1A1F24"/>
      <color rgb="FF663300"/>
      <color rgb="FFCC3300"/>
      <color rgb="FF262B2F"/>
      <color rgb="FF0C2DBA"/>
      <color rgb="FF2F5597"/>
      <color rgb="FF0000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pivotCacheDefinition" Target="pivotCache/pivotCacheDefinition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Emprestimos</a:t>
            </a:r>
          </a:p>
        </c:rich>
      </c:tx>
      <c:layout/>
      <c:overlay val="1"/>
      <c:spPr>
        <a:noFill/>
      </c:spPr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48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4.6486512878369905E-2"/>
          <c:y val="0.37792787648817022"/>
          <c:w val="0.91268971004171462"/>
          <c:h val="0.54356486055151954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0"/>
        <c:axId val="116624000"/>
        <c:axId val="116654464"/>
      </c:barChart>
      <c:catAx>
        <c:axId val="116624000"/>
        <c:scaling>
          <c:orientation val="minMax"/>
        </c:scaling>
        <c:delete val="1"/>
        <c:axPos val="b"/>
        <c:majorTickMark val="none"/>
        <c:tickLblPos val="none"/>
        <c:crossAx val="116654464"/>
        <c:crosses val="autoZero"/>
        <c:auto val="1"/>
        <c:lblAlgn val="ctr"/>
        <c:lblOffset val="100"/>
      </c:catAx>
      <c:valAx>
        <c:axId val="11665446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16624000"/>
        <c:crosses val="autoZero"/>
        <c:crossBetween val="between"/>
      </c:valAx>
      <c:spPr>
        <a:noFill/>
      </c:spPr>
    </c:plotArea>
    <c:legend>
      <c:legendPos val="t"/>
      <c:layout>
        <c:manualLayout>
          <c:xMode val="edge"/>
          <c:yMode val="edge"/>
          <c:x val="2.8715151137434187E-2"/>
          <c:y val="0.11603539500151112"/>
          <c:w val="3.2844336001604357E-2"/>
          <c:h val="7.301043669156275E-2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51" footer="0.3149606200000135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title>
      <c:tx>
        <c:rich>
          <a:bodyPr/>
          <a:lstStyle/>
          <a:p>
            <a:pPr>
              <a:defRPr sz="1600"/>
            </a:pPr>
            <a:r>
              <a:rPr lang="pt-BR" sz="1600"/>
              <a:t>Percentuais</a:t>
            </a:r>
          </a:p>
        </c:rich>
      </c:tx>
      <c:layout>
        <c:manualLayout>
          <c:xMode val="edge"/>
          <c:yMode val="edge"/>
          <c:x val="8.7646078052334847E-2"/>
          <c:y val="5.8259939232283862E-2"/>
        </c:manualLayout>
      </c:layout>
    </c:title>
    <c:plotArea>
      <c:layout>
        <c:manualLayout>
          <c:layoutTarget val="inner"/>
          <c:xMode val="edge"/>
          <c:yMode val="edge"/>
          <c:x val="0.10194011361098952"/>
          <c:y val="0.32168610278727217"/>
          <c:w val="0.32937905697032782"/>
          <c:h val="0.55713934013865152"/>
        </c:manualLayout>
      </c:layout>
      <c:pieChart>
        <c:varyColors val="1"/>
        <c:ser>
          <c:idx val="0"/>
          <c:order val="0"/>
          <c:dPt>
            <c:idx val="0"/>
            <c:spPr>
              <a:solidFill>
                <a:srgbClr val="00B050"/>
              </a:solidFill>
            </c:spPr>
          </c:dPt>
          <c:dPt>
            <c:idx val="1"/>
            <c:spPr>
              <a:solidFill>
                <a:srgbClr val="00B0F0"/>
              </a:solidFill>
            </c:spPr>
          </c:dPt>
          <c:dPt>
            <c:idx val="2"/>
            <c:spPr>
              <a:solidFill>
                <a:srgbClr val="FFC000"/>
              </a:solidFill>
            </c:spPr>
          </c:dPt>
          <c:dPt>
            <c:idx val="3"/>
            <c:spPr>
              <a:solidFill>
                <a:srgbClr val="7030A0"/>
              </a:solidFill>
            </c:spPr>
          </c:dPt>
          <c:dPt>
            <c:idx val="4"/>
            <c:spPr>
              <a:solidFill>
                <a:srgbClr val="FFFF00"/>
              </a:solidFill>
            </c:spPr>
          </c:dPt>
          <c:dLbls>
            <c:numFmt formatCode="0.00%" sourceLinked="0"/>
            <c:dLblPos val="outEnd"/>
            <c:showPercent val="1"/>
            <c:showLeaderLines val="1"/>
          </c:dLbls>
          <c:cat>
            <c:strRef>
              <c:f>'Base de Dados'!$I$3:$I$7</c:f>
              <c:strCache>
                <c:ptCount val="5"/>
                <c:pt idx="0">
                  <c:v>Gastos Pessoais</c:v>
                </c:pt>
                <c:pt idx="1">
                  <c:v>Aplicações Financeiras</c:v>
                </c:pt>
                <c:pt idx="2">
                  <c:v>Gastos Circunstanciais</c:v>
                </c:pt>
                <c:pt idx="3">
                  <c:v>Metas</c:v>
                </c:pt>
                <c:pt idx="4">
                  <c:v>Familia</c:v>
                </c:pt>
              </c:strCache>
            </c:strRef>
          </c:cat>
          <c:val>
            <c:numRef>
              <c:f>'Base de Dados'!$J$3:$J$7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Percent val="1"/>
        </c:dLbls>
        <c:firstSliceAng val="0"/>
      </c:pieChart>
    </c:plotArea>
    <c:legend>
      <c:legendPos val="r"/>
      <c:layout>
        <c:manualLayout>
          <c:xMode val="edge"/>
          <c:yMode val="edge"/>
          <c:x val="0.53739628760624758"/>
          <c:y val="7.5950367634692872E-2"/>
          <c:w val="0.435361106964467"/>
          <c:h val="0.8561183385264366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 b="1" cap="none" spc="50">
          <a:ln w="13500">
            <a:solidFill>
              <a:schemeClr val="accent1">
                <a:shade val="2500"/>
                <a:alpha val="6500"/>
              </a:schemeClr>
            </a:solidFill>
            <a:prstDash val="solid"/>
          </a:ln>
          <a:solidFill>
            <a:schemeClr val="bg1"/>
          </a:solidFill>
          <a:effectLst>
            <a:innerShdw blurRad="50900" dist="38500" dir="13500000">
              <a:srgbClr val="000000">
                <a:alpha val="60000"/>
              </a:srgbClr>
            </a:inn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1518" footer="0.31496062000001518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Parcelamentos</a:t>
            </a:r>
          </a:p>
        </c:rich>
      </c:tx>
      <c:layout/>
    </c:title>
    <c:pivotFmts>
      <c:pivotFmt>
        <c:idx val="0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2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3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4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7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</c:dLbl>
      </c:pivotFmt>
      <c:pivotFmt>
        <c:idx val="8"/>
      </c:pivotFmt>
      <c:pivotFmt>
        <c:idx val="9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5.1006488840109124E-2"/>
          <c:y val="0.24922454492697799"/>
          <c:w val="0.55772095663851418"/>
          <c:h val="0.71054555545137565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2519168"/>
        <c:axId val="102520704"/>
      </c:barChart>
      <c:catAx>
        <c:axId val="102519168"/>
        <c:scaling>
          <c:orientation val="minMax"/>
        </c:scaling>
        <c:delete val="1"/>
        <c:axPos val="b"/>
        <c:majorTickMark val="none"/>
        <c:tickLblPos val="none"/>
        <c:crossAx val="102520704"/>
        <c:crosses val="autoZero"/>
        <c:auto val="1"/>
        <c:lblAlgn val="ctr"/>
        <c:lblOffset val="100"/>
      </c:catAx>
      <c:valAx>
        <c:axId val="10252070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251916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2276293528493807"/>
          <c:y val="0.37150341421337357"/>
          <c:w val="0.19419377595590517"/>
          <c:h val="0.1562926545335829"/>
        </c:manualLayout>
      </c:layout>
    </c:legend>
    <c:plotVisOnly val="1"/>
  </c:chart>
  <c:spPr>
    <a:noFill/>
    <a:ln>
      <a:noFill/>
    </a:ln>
  </c:spPr>
  <c:txPr>
    <a:bodyPr/>
    <a:lstStyle/>
    <a:p>
      <a:pPr>
        <a:defRPr sz="1400">
          <a:ln>
            <a:noFill/>
          </a:ln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57" footer="0.3149606200000135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  <c:layout/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4"/>
        <c:spPr>
          <a:solidFill>
            <a:srgbClr val="00206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5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6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7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8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5.7049260944547514E-2"/>
          <c:y val="0.40950860278869489"/>
          <c:w val="0.88421472167835158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45"/>
        <c:overlap val="-32"/>
        <c:axId val="102735232"/>
        <c:axId val="102839424"/>
      </c:barChart>
      <c:catAx>
        <c:axId val="102735232"/>
        <c:scaling>
          <c:orientation val="minMax"/>
        </c:scaling>
        <c:delete val="1"/>
        <c:axPos val="b"/>
        <c:tickLblPos val="none"/>
        <c:crossAx val="102839424"/>
        <c:crosses val="autoZero"/>
        <c:auto val="1"/>
        <c:lblAlgn val="ctr"/>
        <c:lblOffset val="100"/>
      </c:catAx>
      <c:valAx>
        <c:axId val="102839424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273523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7.4322354491902012E-2"/>
          <c:w val="0.94931260955194829"/>
          <c:h val="0.3351482682461609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096" footer="0.3149606200000109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layout>
        <c:manualLayout>
          <c:xMode val="edge"/>
          <c:yMode val="edge"/>
          <c:x val="0.44017708481808593"/>
          <c:y val="5.2852857851825419E-2"/>
        </c:manualLayout>
      </c:layout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spPr>
          <a:solidFill>
            <a:srgbClr val="0070C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8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9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spPr>
          <a:solidFill>
            <a:srgbClr val="FFFF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spPr>
          <a:solidFill>
            <a:srgbClr val="0070C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2"/>
        <c:spPr>
          <a:solidFill>
            <a:srgbClr val="00B05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  <c:spPr>
          <a:solidFill>
            <a:srgbClr val="7030A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8"/>
        <c:spPr>
          <a:solidFill>
            <a:srgbClr val="FFC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9"/>
        <c:spPr>
          <a:solidFill>
            <a:srgbClr val="FF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9818276524297088E-2"/>
          <c:y val="0.16891436742043819"/>
          <c:w val="0.67811702941171814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spPr>
            <a:solidFill>
              <a:srgbClr val="0070C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spPr>
            <a:solidFill>
              <a:srgbClr val="FF0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gapWidth val="112"/>
        <c:overlap val="-71"/>
        <c:axId val="102931840"/>
        <c:axId val="102945920"/>
      </c:barChart>
      <c:catAx>
        <c:axId val="102931840"/>
        <c:scaling>
          <c:orientation val="minMax"/>
        </c:scaling>
        <c:delete val="1"/>
        <c:axPos val="b"/>
        <c:tickLblPos val="none"/>
        <c:crossAx val="102945920"/>
        <c:crosses val="autoZero"/>
        <c:auto val="1"/>
        <c:lblAlgn val="ctr"/>
        <c:lblOffset val="100"/>
      </c:catAx>
      <c:valAx>
        <c:axId val="10294592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293184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9308687320595952"/>
          <c:y val="0.24586515918774848"/>
          <c:w val="0.30691318658875238"/>
          <c:h val="0.51117407191653852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noFill/>
    <a:ln>
      <a:noFill/>
    </a:ln>
  </c:spPr>
  <c:txPr>
    <a:bodyPr/>
    <a:lstStyle/>
    <a:p>
      <a:pPr>
        <a:defRPr sz="1400">
          <a:solidFill>
            <a:schemeClr val="bg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152" footer="0.3149606200000115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Dinâmicas!DevedoresDinamica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9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3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8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Dinâmicas'!$T$3:$T$4</c:f>
              <c:strCache>
                <c:ptCount val="1"/>
                <c:pt idx="0">
                  <c:v>-</c:v>
                </c:pt>
              </c:strCache>
            </c:strRef>
          </c:tx>
          <c:dLbls>
            <c:delete val="1"/>
          </c:dLbls>
          <c:cat>
            <c:strRef>
              <c:f>'Tabelas Dinâmicas'!$S$5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Dinâmicas'!$T$5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3273984"/>
        <c:axId val="103275520"/>
      </c:barChart>
      <c:catAx>
        <c:axId val="103273984"/>
        <c:scaling>
          <c:orientation val="minMax"/>
        </c:scaling>
        <c:axPos val="b"/>
        <c:majorTickMark val="none"/>
        <c:tickLblPos val="nextTo"/>
        <c:crossAx val="103275520"/>
        <c:crosses val="autoZero"/>
        <c:auto val="1"/>
        <c:lblAlgn val="ctr"/>
        <c:lblOffset val="100"/>
      </c:catAx>
      <c:valAx>
        <c:axId val="10327552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majorTickMark val="none"/>
        <c:tickLblPos val="none"/>
        <c:crossAx val="103273984"/>
        <c:crosses val="autoZero"/>
        <c:crossBetween val="between"/>
      </c:valAx>
    </c:plotArea>
    <c:legend>
      <c:legendPos val="t"/>
    </c:legend>
    <c:plotVisOnly val="1"/>
  </c:chart>
  <c:printSettings>
    <c:headerFooter/>
    <c:pageMargins b="0.78740157499999996" l="0.511811024" r="0.511811024" t="0.78740157499999996" header="0.3149606200000134" footer="0.314960620000013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Dinâmicas!ParcelamentosDinamica</c:name>
    <c:fmtId val="0"/>
  </c:pivotSource>
  <c:chart>
    <c:title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'Tabelas Dinâmicas'!$AF$3:$AF$4</c:f>
              <c:strCache>
                <c:ptCount val="1"/>
                <c:pt idx="0">
                  <c:v>-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Dinâmicas'!$AE$5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Dinâmicas'!$AF$5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overlap val="-25"/>
        <c:axId val="103326464"/>
        <c:axId val="103328000"/>
      </c:barChart>
      <c:catAx>
        <c:axId val="103326464"/>
        <c:scaling>
          <c:orientation val="minMax"/>
        </c:scaling>
        <c:delete val="1"/>
        <c:axPos val="b"/>
        <c:majorTickMark val="none"/>
        <c:tickLblPos val="none"/>
        <c:crossAx val="103328000"/>
        <c:crosses val="autoZero"/>
        <c:auto val="1"/>
        <c:lblAlgn val="ctr"/>
        <c:lblOffset val="100"/>
      </c:catAx>
      <c:valAx>
        <c:axId val="103328000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3326464"/>
        <c:crosses val="autoZero"/>
        <c:crossBetween val="between"/>
      </c:valAx>
      <c:spPr>
        <a:noFill/>
      </c:spPr>
    </c:plotArea>
    <c:legend>
      <c:legendPos val="r"/>
    </c:legend>
    <c:plotVisOnly val="1"/>
  </c:chart>
  <c:spPr>
    <a:noFill/>
    <a:ln>
      <a:noFill/>
    </a:ln>
  </c:spPr>
  <c:txPr>
    <a:bodyPr/>
    <a:lstStyle/>
    <a:p>
      <a:pPr>
        <a:defRPr>
          <a:ln>
            <a:noFill/>
          </a:ln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Dinâmicas!SaquesDinamica</c:name>
    <c:fmtId val="0"/>
  </c:pivotSource>
  <c:chart>
    <c:title/>
    <c:pivotFmts>
      <c:pivotFmt>
        <c:idx val="0"/>
        <c:marker>
          <c:symbol val="none"/>
        </c:marker>
      </c:pivotFmt>
      <c:pivotFmt>
        <c:idx val="1"/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t"/>
          <c:showVal val="1"/>
        </c:dLbl>
      </c:pivotFmt>
    </c:pivotFmts>
    <c:plotArea>
      <c:layout/>
      <c:lineChart>
        <c:grouping val="standard"/>
        <c:ser>
          <c:idx val="0"/>
          <c:order val="0"/>
          <c:tx>
            <c:strRef>
              <c:f>'Tabelas Dinâmicas'!$AM$3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t"/>
            <c:showVal val="1"/>
          </c:dLbls>
          <c:cat>
            <c:strRef>
              <c:f>'Tabelas Dinâmicas'!$AL$4:$AL$5</c:f>
              <c:strCache>
                <c:ptCount val="1"/>
                <c:pt idx="0">
                  <c:v>-</c:v>
                </c:pt>
              </c:strCache>
            </c:strRef>
          </c:cat>
          <c:val>
            <c:numRef>
              <c:f>'Tabelas Dinâmicas'!$AM$4:$AM$5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marker val="1"/>
        <c:axId val="103422208"/>
        <c:axId val="103428096"/>
      </c:lineChart>
      <c:catAx>
        <c:axId val="103422208"/>
        <c:scaling>
          <c:orientation val="minMax"/>
        </c:scaling>
        <c:axPos val="b"/>
        <c:tickLblPos val="nextTo"/>
        <c:crossAx val="103428096"/>
        <c:crosses val="autoZero"/>
        <c:auto val="1"/>
        <c:lblAlgn val="ctr"/>
        <c:lblOffset val="100"/>
      </c:catAx>
      <c:valAx>
        <c:axId val="103428096"/>
        <c:scaling>
          <c:orientation val="minMax"/>
        </c:scaling>
        <c:axPos val="l"/>
        <c:majorGridlines/>
        <c:numFmt formatCode="General" sourceLinked="1"/>
        <c:tickLblPos val="nextTo"/>
        <c:crossAx val="103422208"/>
        <c:crosses val="autoZero"/>
        <c:crossBetween val="between"/>
      </c:valAx>
    </c:plotArea>
    <c:plotVisOnly val="1"/>
  </c:chart>
  <c:printSettings>
    <c:headerFooter/>
    <c:pageMargins b="0.78740157499999996" l="0.511811024" r="0.511811024" t="0.78740157499999996" header="0.31496062000001335" footer="0.3149606200000133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Dinâmicas!SaldosDinamica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Saldos</a:t>
            </a:r>
          </a:p>
        </c:rich>
      </c:tx>
      <c:overlay val="1"/>
    </c:title>
    <c:pivotFmts>
      <c:pivotFmt>
        <c:idx val="0"/>
        <c:marker>
          <c:symbol val="none"/>
        </c:marker>
        <c:dLbl>
          <c:idx val="0"/>
          <c:dLblPos val="outEnd"/>
          <c:showVal val="1"/>
        </c:dLbl>
      </c:pivotFmt>
      <c:pivotFmt>
        <c:idx val="1"/>
        <c:marker>
          <c:symbol val="none"/>
        </c:marker>
        <c:dLbl>
          <c:idx val="0"/>
          <c:dLblPos val="outEnd"/>
          <c:showVal val="1"/>
        </c:dLbl>
      </c:pivotFmt>
      <c:pivotFmt>
        <c:idx val="2"/>
        <c:marker>
          <c:symbol val="none"/>
        </c:marker>
        <c:dLbl>
          <c:idx val="0"/>
          <c:dLblPos val="outEnd"/>
          <c:showVal val="1"/>
        </c:dLbl>
      </c:pivotFmt>
      <c:pivotFmt>
        <c:idx val="3"/>
        <c:marker>
          <c:symbol val="none"/>
        </c:marker>
        <c:dLbl>
          <c:idx val="0"/>
          <c:dLblPos val="outEnd"/>
          <c:showVal val="1"/>
        </c:dLbl>
      </c:pivotFmt>
      <c:pivotFmt>
        <c:idx val="4"/>
      </c:pivotFmt>
      <c:pivotFmt>
        <c:idx val="5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</c:pivotFmts>
    <c:plotArea>
      <c:layout>
        <c:manualLayout>
          <c:layoutTarget val="inner"/>
          <c:xMode val="edge"/>
          <c:yMode val="edge"/>
          <c:x val="6.0032359534312012E-2"/>
          <c:y val="0.16555150163191917"/>
          <c:w val="0.65800994758968911"/>
          <c:h val="0.7382281638548620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Dinâmicas'!$AU$3:$AU$4</c:f>
              <c:strCache>
                <c:ptCount val="1"/>
                <c:pt idx="0">
                  <c:v>Saldo Bruto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Dinâmicas'!$AU$5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Dinâmicas'!$AV$3:$AV$4</c:f>
              <c:strCache>
                <c:ptCount val="1"/>
                <c:pt idx="0">
                  <c:v>Saldo Hipotético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Dinâmicas'!$AV$5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Dinâmicas'!$AW$3:$AW$4</c:f>
              <c:strCache>
                <c:ptCount val="1"/>
                <c:pt idx="0">
                  <c:v>Saldo Líquido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Dinâmicas'!$AW$5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Dinâmicas'!$AX$3:$AX$4</c:f>
              <c:strCache>
                <c:ptCount val="1"/>
                <c:pt idx="0">
                  <c:v>Crédito Pessoal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Dinâmicas'!$AX$5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Dinâmicas'!$AY$3:$AY$4</c:f>
              <c:strCache>
                <c:ptCount val="1"/>
                <c:pt idx="0">
                  <c:v>Crédito Emprestado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Dinâmicas'!$AY$5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Dinâmicas'!$AZ$3:$AZ$4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Dinâmicas'!$AT$5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Dinâmicas'!$AZ$5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55"/>
        <c:axId val="103369344"/>
        <c:axId val="103379328"/>
      </c:barChart>
      <c:catAx>
        <c:axId val="103369344"/>
        <c:scaling>
          <c:orientation val="minMax"/>
        </c:scaling>
        <c:delete val="1"/>
        <c:axPos val="b"/>
        <c:tickLblPos val="none"/>
        <c:crossAx val="103379328"/>
        <c:crosses val="autoZero"/>
        <c:auto val="1"/>
        <c:lblAlgn val="ctr"/>
        <c:lblOffset val="100"/>
      </c:catAx>
      <c:valAx>
        <c:axId val="103379328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3369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2053785051579178"/>
          <c:y val="0.24586515918774843"/>
          <c:w val="0.26636696142438354"/>
          <c:h val="0.47250959916966045"/>
        </c:manualLayout>
      </c:layout>
      <c:txPr>
        <a:bodyPr/>
        <a:lstStyle/>
        <a:p>
          <a:pPr>
            <a:defRPr sz="1200"/>
          </a:pPr>
          <a:endParaRPr lang="pt-BR"/>
        </a:p>
      </c:txPr>
    </c:legend>
    <c:plotVisOnly val="1"/>
  </c:chart>
  <c:printSettings>
    <c:headerFooter/>
    <c:pageMargins b="0.78740157499999996" l="0.511811024" r="0.511811024" t="0.78740157499999996" header="0.3149606200000114" footer="0.31496062000001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pivotSource>
    <c:name>[Planilha Financeira- Clean Code.xlsm]Tabelas Dinâmicas!GraficoFinancasDinamica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Gráfico de Finanças</a:t>
            </a:r>
          </a:p>
        </c:rich>
      </c:tx>
    </c:title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1"/>
        <c:spPr>
          <a:solidFill>
            <a:srgbClr val="FFFF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2"/>
        <c:spPr>
          <a:solidFill>
            <a:srgbClr val="FFC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3"/>
        <c:spPr>
          <a:solidFill>
            <a:srgbClr val="00B05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4"/>
        <c:spPr>
          <a:solidFill>
            <a:srgbClr val="7030A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5"/>
        <c:spPr>
          <a:solidFill>
            <a:srgbClr val="FF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6"/>
        <c:spPr>
          <a:solidFill>
            <a:srgbClr val="00206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outEnd"/>
          <c:showVal val="1"/>
        </c:dLbl>
      </c:pivotFmt>
      <c:pivotFmt>
        <c:idx val="7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Val val="1"/>
        </c:dLbl>
      </c:pivotFmt>
    </c:pivotFmts>
    <c:plotArea>
      <c:layout>
        <c:manualLayout>
          <c:layoutTarget val="inner"/>
          <c:xMode val="edge"/>
          <c:yMode val="edge"/>
          <c:x val="1.6532473944489721E-2"/>
          <c:y val="0.40950860278869478"/>
          <c:w val="0.96669528981890063"/>
          <c:h val="0.55356093460241551"/>
        </c:manualLayout>
      </c:layout>
      <c:barChart>
        <c:barDir val="col"/>
        <c:grouping val="clustered"/>
        <c:ser>
          <c:idx val="0"/>
          <c:order val="0"/>
          <c:tx>
            <c:strRef>
              <c:f>'Tabelas Dinâmicas'!$C$4:$C$5</c:f>
              <c:strCache>
                <c:ptCount val="1"/>
                <c:pt idx="0">
                  <c:v>Gastos Pessoais</c:v>
                </c:pt>
              </c:strCache>
            </c:strRef>
          </c:tx>
          <c:spPr>
            <a:solidFill>
              <a:srgbClr val="00B05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Dinâmicas'!$C$6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'Tabelas Dinâmicas'!$D$4:$D$5</c:f>
              <c:strCache>
                <c:ptCount val="1"/>
                <c:pt idx="0">
                  <c:v>Aplicações Financeiras</c:v>
                </c:pt>
              </c:strCache>
            </c:strRef>
          </c:tx>
          <c:spPr>
            <a:solidFill>
              <a:srgbClr val="00206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Dinâmicas'!$D$6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'Tabelas Dinâmicas'!$E$4:$E$5</c:f>
              <c:strCache>
                <c:ptCount val="1"/>
                <c:pt idx="0">
                  <c:v>Gastos Circunstanciais</c:v>
                </c:pt>
              </c:strCache>
            </c:strRef>
          </c:tx>
          <c:spPr>
            <a:solidFill>
              <a:srgbClr val="FFC0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Dinâmicas'!$E$6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'Tabelas Dinâmicas'!$F$4:$F$5</c:f>
              <c:strCache>
                <c:ptCount val="1"/>
                <c:pt idx="0">
                  <c:v>Metas</c:v>
                </c:pt>
              </c:strCache>
            </c:strRef>
          </c:tx>
          <c:spPr>
            <a:solidFill>
              <a:srgbClr val="7030A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Dinâmicas'!$F$6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'Tabelas Dinâmicas'!$G$4:$G$5</c:f>
              <c:strCache>
                <c:ptCount val="1"/>
                <c:pt idx="0">
                  <c:v>Familia</c:v>
                </c:pt>
              </c:strCache>
            </c:strRef>
          </c:tx>
          <c:spPr>
            <a:solidFill>
              <a:srgbClr val="FFFF00"/>
            </a:solidFill>
          </c:spPr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outEnd"/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Dinâmicas'!$G$6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'Tabelas Dinâmicas'!$H$4:$H$5</c:f>
              <c:strCache>
                <c:ptCount val="1"/>
                <c:pt idx="0">
                  <c:v>Crédito 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Val val="1"/>
          </c:dLbls>
          <c:cat>
            <c:strRef>
              <c:f>'Tabelas Dinâmicas'!$B$6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'Tabelas Dinâmicas'!$H$6</c:f>
              <c:numCache>
                <c:formatCode>_-"R$"\ * #,##0.00_-;\-"R$"\ * #,##0.00_-;_-"R$"\ * "-"??_-;_-@_-</c:formatCode>
                <c:ptCount val="1"/>
                <c:pt idx="0">
                  <c:v>0</c:v>
                </c:pt>
              </c:numCache>
            </c:numRef>
          </c:val>
        </c:ser>
        <c:dLbls>
          <c:showVal val="1"/>
        </c:dLbls>
        <c:axId val="103526400"/>
        <c:axId val="103527936"/>
      </c:barChart>
      <c:catAx>
        <c:axId val="103526400"/>
        <c:scaling>
          <c:orientation val="minMax"/>
        </c:scaling>
        <c:delete val="1"/>
        <c:axPos val="b"/>
        <c:tickLblPos val="none"/>
        <c:crossAx val="103527936"/>
        <c:crosses val="autoZero"/>
        <c:auto val="1"/>
        <c:lblAlgn val="ctr"/>
        <c:lblOffset val="100"/>
      </c:catAx>
      <c:valAx>
        <c:axId val="103527936"/>
        <c:scaling>
          <c:orientation val="minMax"/>
        </c:scaling>
        <c:delete val="1"/>
        <c:axPos val="l"/>
        <c:numFmt formatCode="_-&quot;R$&quot;\ * #,##0.00_-;\-&quot;R$&quot;\ * #,##0.00_-;_-&quot;R$&quot;\ * &quot;-&quot;??_-;_-@_-" sourceLinked="1"/>
        <c:tickLblPos val="none"/>
        <c:crossAx val="10352640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3.1859035866830011E-2"/>
          <c:y val="0.12478240238343258"/>
          <c:w val="0.23733514787757556"/>
          <c:h val="0.51033828250878865"/>
        </c:manualLayout>
      </c:layout>
      <c:txPr>
        <a:bodyPr/>
        <a:lstStyle/>
        <a:p>
          <a:pPr>
            <a:defRPr sz="1600"/>
          </a:pPr>
          <a:endParaRPr lang="pt-BR"/>
        </a:p>
      </c:txPr>
    </c:legend>
    <c:plotVisOnly val="1"/>
  </c:chart>
  <c:spPr>
    <a:ln>
      <a:noFill/>
    </a:ln>
  </c:spPr>
  <c:printSettings>
    <c:headerFooter/>
    <c:pageMargins b="0.78740157499999996" l="0.511811024" r="0.511811024" t="0.78740157499999996" header="0.31496062000001085" footer="0.3149606200000108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12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0" Type="http://schemas.openxmlformats.org/officeDocument/2006/relationships/chart" Target="../charts/chart3.xml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35</xdr:col>
      <xdr:colOff>558458</xdr:colOff>
      <xdr:row>61</xdr:row>
      <xdr:rowOff>190499</xdr:rowOff>
    </xdr:to>
    <xdr:sp macro="" textlink="">
      <xdr:nvSpPr>
        <xdr:cNvPr id="2" name="Retângulo 1"/>
        <xdr:cNvSpPr/>
      </xdr:nvSpPr>
      <xdr:spPr>
        <a:xfrm>
          <a:off x="0" y="0"/>
          <a:ext cx="23106731" cy="11810999"/>
        </a:xfrm>
        <a:prstGeom prst="rect">
          <a:avLst/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22</xdr:col>
      <xdr:colOff>343944</xdr:colOff>
      <xdr:row>38</xdr:row>
      <xdr:rowOff>4608</xdr:rowOff>
    </xdr:from>
    <xdr:to>
      <xdr:col>35</xdr:col>
      <xdr:colOff>128606</xdr:colOff>
      <xdr:row>59</xdr:row>
      <xdr:rowOff>72148</xdr:rowOff>
    </xdr:to>
    <xdr:sp macro="" textlink="">
      <xdr:nvSpPr>
        <xdr:cNvPr id="52" name="Retângulo de cantos arredondados 51"/>
        <xdr:cNvSpPr/>
      </xdr:nvSpPr>
      <xdr:spPr>
        <a:xfrm>
          <a:off x="13815015" y="7243608"/>
          <a:ext cx="9064734" cy="4068040"/>
        </a:xfrm>
        <a:prstGeom prst="roundRect">
          <a:avLst>
            <a:gd name="adj" fmla="val 144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256480</xdr:colOff>
      <xdr:row>8</xdr:row>
      <xdr:rowOff>37920</xdr:rowOff>
    </xdr:from>
    <xdr:to>
      <xdr:col>13</xdr:col>
      <xdr:colOff>12406</xdr:colOff>
      <xdr:row>17</xdr:row>
      <xdr:rowOff>16165</xdr:rowOff>
    </xdr:to>
    <xdr:grpSp>
      <xdr:nvGrpSpPr>
        <xdr:cNvPr id="88" name="Grupo 87"/>
        <xdr:cNvGrpSpPr/>
      </xdr:nvGrpSpPr>
      <xdr:grpSpPr>
        <a:xfrm>
          <a:off x="4578008" y="1590142"/>
          <a:ext cx="3460092" cy="1724495"/>
          <a:chOff x="2979086" y="1023991"/>
          <a:chExt cx="2216049" cy="1109760"/>
        </a:xfrm>
      </xdr:grpSpPr>
      <xdr:sp macro="" textlink="">
        <xdr:nvSpPr>
          <xdr:cNvPr id="5" name="Retângulo de cantos arredondados 4"/>
          <xdr:cNvSpPr/>
        </xdr:nvSpPr>
        <xdr:spPr>
          <a:xfrm>
            <a:off x="2979086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3">
        <xdr:nvSpPr>
          <xdr:cNvPr id="40" name="CaixaDeTexto 39"/>
          <xdr:cNvSpPr txBox="1"/>
        </xdr:nvSpPr>
        <xdr:spPr>
          <a:xfrm>
            <a:off x="3625241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756E7A8A-F53A-41D3-B151-CABA96081777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7" name="Imagem 26" descr="grocery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3006484" y="1284296"/>
            <a:ext cx="563064" cy="551872"/>
          </a:xfrm>
          <a:prstGeom prst="rect">
            <a:avLst/>
          </a:prstGeom>
        </xdr:spPr>
      </xdr:pic>
      <xdr:sp macro="" textlink="">
        <xdr:nvSpPr>
          <xdr:cNvPr id="46" name="CaixaDeTexto 45"/>
          <xdr:cNvSpPr txBox="1"/>
        </xdr:nvSpPr>
        <xdr:spPr>
          <a:xfrm>
            <a:off x="3532255" y="1115266"/>
            <a:ext cx="145579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Pessoais</a:t>
            </a:r>
          </a:p>
        </xdr:txBody>
      </xdr:sp>
    </xdr:grpSp>
    <xdr:clientData/>
  </xdr:twoCellAnchor>
  <xdr:twoCellAnchor>
    <xdr:from>
      <xdr:col>13</xdr:col>
      <xdr:colOff>308975</xdr:colOff>
      <xdr:row>8</xdr:row>
      <xdr:rowOff>37920</xdr:rowOff>
    </xdr:from>
    <xdr:to>
      <xdr:col>19</xdr:col>
      <xdr:colOff>64895</xdr:colOff>
      <xdr:row>17</xdr:row>
      <xdr:rowOff>16165</xdr:rowOff>
    </xdr:to>
    <xdr:grpSp>
      <xdr:nvGrpSpPr>
        <xdr:cNvPr id="89" name="Grupo 88"/>
        <xdr:cNvGrpSpPr/>
      </xdr:nvGrpSpPr>
      <xdr:grpSpPr>
        <a:xfrm>
          <a:off x="8334669" y="1590142"/>
          <a:ext cx="3460087" cy="1724495"/>
          <a:chOff x="5384610" y="1023991"/>
          <a:chExt cx="2216047" cy="1109760"/>
        </a:xfrm>
      </xdr:grpSpPr>
      <xdr:sp macro="" textlink="">
        <xdr:nvSpPr>
          <xdr:cNvPr id="10" name="Retângulo de cantos arredondados 9"/>
          <xdr:cNvSpPr/>
        </xdr:nvSpPr>
        <xdr:spPr>
          <a:xfrm>
            <a:off x="5384610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4">
        <xdr:nvSpPr>
          <xdr:cNvPr id="41" name="CaixaDeTexto 40"/>
          <xdr:cNvSpPr txBox="1"/>
        </xdr:nvSpPr>
        <xdr:spPr>
          <a:xfrm>
            <a:off x="6030273" y="1481502"/>
            <a:ext cx="1454395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E65409FB-E97C-4A87-9286-618647DC184F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28" name="Imagem 27" descr="money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5432960" y="1350361"/>
            <a:ext cx="530484" cy="523280"/>
          </a:xfrm>
          <a:prstGeom prst="rect">
            <a:avLst/>
          </a:prstGeom>
        </xdr:spPr>
      </xdr:pic>
      <xdr:sp macro="" textlink="">
        <xdr:nvSpPr>
          <xdr:cNvPr id="47" name="CaixaDeTexto 46"/>
          <xdr:cNvSpPr txBox="1"/>
        </xdr:nvSpPr>
        <xdr:spPr>
          <a:xfrm>
            <a:off x="5726044" y="1115266"/>
            <a:ext cx="1821838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Aplicações</a:t>
            </a:r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 Financeiras</a:t>
            </a:r>
            <a:endParaRPr lang="en-US" sz="16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19</xdr:col>
      <xdr:colOff>361463</xdr:colOff>
      <xdr:row>8</xdr:row>
      <xdr:rowOff>37920</xdr:rowOff>
    </xdr:from>
    <xdr:to>
      <xdr:col>25</xdr:col>
      <xdr:colOff>118187</xdr:colOff>
      <xdr:row>17</xdr:row>
      <xdr:rowOff>16165</xdr:rowOff>
    </xdr:to>
    <xdr:grpSp>
      <xdr:nvGrpSpPr>
        <xdr:cNvPr id="90" name="Grupo 89"/>
        <xdr:cNvGrpSpPr/>
      </xdr:nvGrpSpPr>
      <xdr:grpSpPr>
        <a:xfrm>
          <a:off x="12091324" y="1590142"/>
          <a:ext cx="3460891" cy="1724495"/>
          <a:chOff x="7790133" y="1023991"/>
          <a:chExt cx="2216560" cy="1109760"/>
        </a:xfrm>
      </xdr:grpSpPr>
      <xdr:sp macro="" textlink="">
        <xdr:nvSpPr>
          <xdr:cNvPr id="11" name="Retângulo de cantos arredondados 10"/>
          <xdr:cNvSpPr/>
        </xdr:nvSpPr>
        <xdr:spPr>
          <a:xfrm>
            <a:off x="7790133" y="1023991"/>
            <a:ext cx="2216049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5">
        <xdr:nvSpPr>
          <xdr:cNvPr id="42" name="CaixaDeTexto 41"/>
          <xdr:cNvSpPr txBox="1"/>
        </xdr:nvSpPr>
        <xdr:spPr>
          <a:xfrm>
            <a:off x="8435306" y="1481502"/>
            <a:ext cx="144991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6B41107F-3803-4969-8DFE-7629805B65BB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0" name="Imagem 29" descr="alert.png"/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7893500" y="1341358"/>
            <a:ext cx="508694" cy="504178"/>
          </a:xfrm>
          <a:prstGeom prst="rect">
            <a:avLst/>
          </a:prstGeom>
        </xdr:spPr>
      </xdr:pic>
      <xdr:sp macro="" textlink="">
        <xdr:nvSpPr>
          <xdr:cNvPr id="48" name="CaixaDeTexto 47"/>
          <xdr:cNvSpPr txBox="1"/>
        </xdr:nvSpPr>
        <xdr:spPr>
          <a:xfrm>
            <a:off x="8156281" y="1115266"/>
            <a:ext cx="18504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Gastos Circunstanciais</a:t>
            </a:r>
          </a:p>
        </xdr:txBody>
      </xdr:sp>
    </xdr:grpSp>
    <xdr:clientData/>
  </xdr:twoCellAnchor>
  <xdr:twoCellAnchor>
    <xdr:from>
      <xdr:col>25</xdr:col>
      <xdr:colOff>413954</xdr:colOff>
      <xdr:row>8</xdr:row>
      <xdr:rowOff>37920</xdr:rowOff>
    </xdr:from>
    <xdr:to>
      <xdr:col>29</xdr:col>
      <xdr:colOff>74624</xdr:colOff>
      <xdr:row>17</xdr:row>
      <xdr:rowOff>16165</xdr:rowOff>
    </xdr:to>
    <xdr:grpSp>
      <xdr:nvGrpSpPr>
        <xdr:cNvPr id="95" name="Grupo 94"/>
        <xdr:cNvGrpSpPr/>
      </xdr:nvGrpSpPr>
      <xdr:grpSpPr>
        <a:xfrm>
          <a:off x="15847982" y="1590142"/>
          <a:ext cx="3453031" cy="1724495"/>
          <a:chOff x="10195657" y="1023991"/>
          <a:chExt cx="2216047" cy="1109760"/>
        </a:xfrm>
      </xdr:grpSpPr>
      <xdr:sp macro="" textlink="">
        <xdr:nvSpPr>
          <xdr:cNvPr id="12" name="Retângulo de cantos arredondados 11"/>
          <xdr:cNvSpPr/>
        </xdr:nvSpPr>
        <xdr:spPr>
          <a:xfrm>
            <a:off x="10195657" y="1023991"/>
            <a:ext cx="2216047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6">
        <xdr:nvSpPr>
          <xdr:cNvPr id="43" name="CaixaDeTexto 42"/>
          <xdr:cNvSpPr txBox="1"/>
        </xdr:nvSpPr>
        <xdr:spPr>
          <a:xfrm>
            <a:off x="10840338" y="1481502"/>
            <a:ext cx="1449914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2CD5D37B-354E-47CC-B8AF-AE08F7C0D82D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33" name="Imagem 32" descr="goal.png"/>
          <xdr:cNvPicPr>
            <a:picLocks noChangeAspect="1"/>
          </xdr:cNvPicPr>
        </xdr:nvPicPr>
        <xdr:blipFill>
          <a:blip xmlns:r="http://schemas.openxmlformats.org/officeDocument/2006/relationships" r:embed="rId4" cstate="print"/>
          <a:stretch>
            <a:fillRect/>
          </a:stretch>
        </xdr:blipFill>
        <xdr:spPr>
          <a:xfrm>
            <a:off x="10257184" y="1346344"/>
            <a:ext cx="525265" cy="517928"/>
          </a:xfrm>
          <a:prstGeom prst="rect">
            <a:avLst/>
          </a:prstGeom>
        </xdr:spPr>
      </xdr:pic>
      <xdr:sp macro="" textlink="">
        <xdr:nvSpPr>
          <xdr:cNvPr id="49" name="CaixaDeTexto 48"/>
          <xdr:cNvSpPr txBox="1"/>
        </xdr:nvSpPr>
        <xdr:spPr>
          <a:xfrm>
            <a:off x="10695774" y="1115266"/>
            <a:ext cx="144411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Metas</a:t>
            </a:r>
          </a:p>
        </xdr:txBody>
      </xdr:sp>
    </xdr:grpSp>
    <xdr:clientData/>
  </xdr:twoCellAnchor>
  <xdr:twoCellAnchor>
    <xdr:from>
      <xdr:col>29</xdr:col>
      <xdr:colOff>371196</xdr:colOff>
      <xdr:row>8</xdr:row>
      <xdr:rowOff>37920</xdr:rowOff>
    </xdr:from>
    <xdr:to>
      <xdr:col>35</xdr:col>
      <xdr:colOff>127120</xdr:colOff>
      <xdr:row>17</xdr:row>
      <xdr:rowOff>16165</xdr:rowOff>
    </xdr:to>
    <xdr:grpSp>
      <xdr:nvGrpSpPr>
        <xdr:cNvPr id="97" name="Grupo 96"/>
        <xdr:cNvGrpSpPr/>
      </xdr:nvGrpSpPr>
      <xdr:grpSpPr>
        <a:xfrm>
          <a:off x="19597585" y="1590142"/>
          <a:ext cx="3460091" cy="1724495"/>
          <a:chOff x="12601180" y="1023991"/>
          <a:chExt cx="2216048" cy="1109760"/>
        </a:xfrm>
      </xdr:grpSpPr>
      <xdr:sp macro="" textlink="">
        <xdr:nvSpPr>
          <xdr:cNvPr id="13" name="Retângulo de cantos arredondados 12"/>
          <xdr:cNvSpPr/>
        </xdr:nvSpPr>
        <xdr:spPr>
          <a:xfrm>
            <a:off x="12601180" y="1023991"/>
            <a:ext cx="2216048" cy="1109760"/>
          </a:xfrm>
          <a:prstGeom prst="roundRect">
            <a:avLst/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'Base de Dados'!D7">
        <xdr:nvSpPr>
          <xdr:cNvPr id="44" name="CaixaDeTexto 43"/>
          <xdr:cNvSpPr txBox="1"/>
        </xdr:nvSpPr>
        <xdr:spPr>
          <a:xfrm>
            <a:off x="13245371" y="1481502"/>
            <a:ext cx="1447192" cy="308600"/>
          </a:xfrm>
          <a:prstGeom prst="rect">
            <a:avLst/>
          </a:prstGeom>
          <a:solidFill>
            <a:srgbClr val="1A1F24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pPr marL="0" indent="0"/>
            <a:fld id="{92A4803B-F97F-4299-BD17-A5C45D45D2F9}" type="TxLink">
              <a:rPr lang="en-US" sz="2000" b="0" i="0" u="none" strike="noStrike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pPr marL="0" indent="0"/>
              <a:t>R$ 0,00</a:t>
            </a:fld>
            <a:endParaRPr lang="pt-BR" sz="2000" b="0" i="0" u="none" strike="noStrike">
              <a:solidFill>
                <a:schemeClr val="bg1"/>
              </a:solidFill>
              <a:latin typeface="Montserrat Black" pitchFamily="2" charset="0"/>
              <a:ea typeface="+mn-ea"/>
              <a:cs typeface="Calibri"/>
            </a:endParaRPr>
          </a:p>
        </xdr:txBody>
      </xdr:sp>
      <xdr:pic>
        <xdr:nvPicPr>
          <xdr:cNvPr id="45" name="Imagem 44" descr="mansion.pn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12662084" y="1398197"/>
            <a:ext cx="531441" cy="525853"/>
          </a:xfrm>
          <a:prstGeom prst="rect">
            <a:avLst/>
          </a:prstGeom>
        </xdr:spPr>
      </xdr:pic>
      <xdr:sp macro="" textlink="">
        <xdr:nvSpPr>
          <xdr:cNvPr id="50" name="CaixaDeTexto 49"/>
          <xdr:cNvSpPr txBox="1"/>
        </xdr:nvSpPr>
        <xdr:spPr>
          <a:xfrm>
            <a:off x="12984816" y="1115266"/>
            <a:ext cx="1448594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marL="0" indent="0" algn="ctr"/>
            <a:r>
              <a:rPr lang="en-US" sz="1600" b="0" i="0" u="none" strike="noStrike" baseline="0">
                <a:solidFill>
                  <a:schemeClr val="bg1"/>
                </a:solidFill>
                <a:latin typeface="Montserrat Black" pitchFamily="2" charset="0"/>
                <a:ea typeface="+mn-ea"/>
                <a:cs typeface="Calibri"/>
              </a:rPr>
              <a:t>Família</a:t>
            </a:r>
          </a:p>
        </xdr:txBody>
      </xdr:sp>
    </xdr:grpSp>
    <xdr:clientData/>
  </xdr:twoCellAnchor>
  <xdr:twoCellAnchor>
    <xdr:from>
      <xdr:col>0</xdr:col>
      <xdr:colOff>268707</xdr:colOff>
      <xdr:row>2</xdr:row>
      <xdr:rowOff>56093</xdr:rowOff>
    </xdr:from>
    <xdr:to>
      <xdr:col>6</xdr:col>
      <xdr:colOff>324103</xdr:colOff>
      <xdr:row>59</xdr:row>
      <xdr:rowOff>176865</xdr:rowOff>
    </xdr:to>
    <xdr:sp macro="" textlink="">
      <xdr:nvSpPr>
        <xdr:cNvPr id="3" name="Retângulo de cantos arredondados 2"/>
        <xdr:cNvSpPr/>
      </xdr:nvSpPr>
      <xdr:spPr>
        <a:xfrm>
          <a:off x="268707" y="437093"/>
          <a:ext cx="3692214" cy="10979272"/>
        </a:xfrm>
        <a:prstGeom prst="roundRect">
          <a:avLst>
            <a:gd name="adj" fmla="val 4321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260771</xdr:colOff>
      <xdr:row>2</xdr:row>
      <xdr:rowOff>123337</xdr:rowOff>
    </xdr:from>
    <xdr:to>
      <xdr:col>5</xdr:col>
      <xdr:colOff>9124</xdr:colOff>
      <xdr:row>14</xdr:row>
      <xdr:rowOff>20490</xdr:rowOff>
    </xdr:to>
    <xdr:sp macro="[0]!takePic" textlink="">
      <xdr:nvSpPr>
        <xdr:cNvPr id="14" name="myPic"/>
        <xdr:cNvSpPr>
          <a:spLocks noChangeAspect="1"/>
        </xdr:cNvSpPr>
      </xdr:nvSpPr>
      <xdr:spPr>
        <a:xfrm rot="5400000">
          <a:off x="861780" y="509464"/>
          <a:ext cx="2183153" cy="2172899"/>
        </a:xfrm>
        <a:prstGeom prst="ellipse">
          <a:avLst/>
        </a:prstGeom>
        <a:noFill/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LocksWithSheet="0"/>
  </xdr:twoCellAnchor>
  <xdr:twoCellAnchor editAs="absolute">
    <xdr:from>
      <xdr:col>0</xdr:col>
      <xdr:colOff>304082</xdr:colOff>
      <xdr:row>57</xdr:row>
      <xdr:rowOff>96163</xdr:rowOff>
    </xdr:from>
    <xdr:to>
      <xdr:col>6</xdr:col>
      <xdr:colOff>337726</xdr:colOff>
      <xdr:row>59</xdr:row>
      <xdr:rowOff>161278</xdr:rowOff>
    </xdr:to>
    <xdr:sp macro="[0]!ResetAll" textlink="">
      <xdr:nvSpPr>
        <xdr:cNvPr id="68" name="Retângulo de cantos arredondados 67"/>
        <xdr:cNvSpPr/>
      </xdr:nvSpPr>
      <xdr:spPr>
        <a:xfrm>
          <a:off x="304082" y="10954663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Resetar Planilha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153283</xdr:rowOff>
    </xdr:from>
    <xdr:to>
      <xdr:col>5</xdr:col>
      <xdr:colOff>438680</xdr:colOff>
      <xdr:row>39</xdr:row>
      <xdr:rowOff>125438</xdr:rowOff>
    </xdr:to>
    <xdr:sp macro="" textlink="">
      <xdr:nvSpPr>
        <xdr:cNvPr id="51" name="Retângulo de cantos arredondados 50"/>
        <xdr:cNvSpPr/>
      </xdr:nvSpPr>
      <xdr:spPr>
        <a:xfrm>
          <a:off x="564567" y="2820283"/>
          <a:ext cx="2904795" cy="4734655"/>
        </a:xfrm>
        <a:prstGeom prst="roundRect">
          <a:avLst>
            <a:gd name="adj" fmla="val 2994"/>
          </a:avLst>
        </a:prstGeom>
        <a:solidFill>
          <a:srgbClr val="262B2F">
            <a:alpha val="63922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absolute">
    <xdr:from>
      <xdr:col>1</xdr:col>
      <xdr:colOff>78797</xdr:colOff>
      <xdr:row>19</xdr:row>
      <xdr:rowOff>28920</xdr:rowOff>
    </xdr:from>
    <xdr:to>
      <xdr:col>5</xdr:col>
      <xdr:colOff>283918</xdr:colOff>
      <xdr:row>21</xdr:row>
      <xdr:rowOff>67543</xdr:rowOff>
    </xdr:to>
    <xdr:sp macro="[0]!Operações_Dashboard_Deposito" textlink="">
      <xdr:nvSpPr>
        <xdr:cNvPr id="54" name="Retângulo de cantos arredondados 53"/>
        <xdr:cNvSpPr/>
      </xdr:nvSpPr>
      <xdr:spPr>
        <a:xfrm>
          <a:off x="684933" y="3648420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Deposito</a:t>
          </a:r>
        </a:p>
      </xdr:txBody>
    </xdr:sp>
    <xdr:clientData fLocksWithSheet="0"/>
  </xdr:twoCellAnchor>
  <xdr:twoCellAnchor editAs="absolute">
    <xdr:from>
      <xdr:col>1</xdr:col>
      <xdr:colOff>78797</xdr:colOff>
      <xdr:row>22</xdr:row>
      <xdr:rowOff>122494</xdr:rowOff>
    </xdr:from>
    <xdr:to>
      <xdr:col>5</xdr:col>
      <xdr:colOff>283918</xdr:colOff>
      <xdr:row>24</xdr:row>
      <xdr:rowOff>161117</xdr:rowOff>
    </xdr:to>
    <xdr:sp macro="[0]!Operações_Dashboard_Saque" textlink="">
      <xdr:nvSpPr>
        <xdr:cNvPr id="62" name="Retângulo de cantos arredondados 61"/>
        <xdr:cNvSpPr/>
      </xdr:nvSpPr>
      <xdr:spPr>
        <a:xfrm>
          <a:off x="684933" y="4313494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Saque</a:t>
          </a:r>
        </a:p>
      </xdr:txBody>
    </xdr:sp>
    <xdr:clientData fLocksWithSheet="0"/>
  </xdr:twoCellAnchor>
  <xdr:twoCellAnchor editAs="absolute">
    <xdr:from>
      <xdr:col>1</xdr:col>
      <xdr:colOff>78797</xdr:colOff>
      <xdr:row>26</xdr:row>
      <xdr:rowOff>25568</xdr:rowOff>
    </xdr:from>
    <xdr:to>
      <xdr:col>5</xdr:col>
      <xdr:colOff>283918</xdr:colOff>
      <xdr:row>28</xdr:row>
      <xdr:rowOff>64191</xdr:rowOff>
    </xdr:to>
    <xdr:sp macro="[0]!Operações_Dashboard_Pagamento" textlink="">
      <xdr:nvSpPr>
        <xdr:cNvPr id="63" name="Retângulo de cantos arredondados 62"/>
        <xdr:cNvSpPr/>
      </xdr:nvSpPr>
      <xdr:spPr>
        <a:xfrm>
          <a:off x="684933" y="4978568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Pagamento</a:t>
          </a:r>
        </a:p>
      </xdr:txBody>
    </xdr:sp>
    <xdr:clientData fLocksWithSheet="0"/>
  </xdr:twoCellAnchor>
  <xdr:twoCellAnchor editAs="absolute">
    <xdr:from>
      <xdr:col>1</xdr:col>
      <xdr:colOff>78797</xdr:colOff>
      <xdr:row>29</xdr:row>
      <xdr:rowOff>119142</xdr:rowOff>
    </xdr:from>
    <xdr:to>
      <xdr:col>5</xdr:col>
      <xdr:colOff>283918</xdr:colOff>
      <xdr:row>31</xdr:row>
      <xdr:rowOff>157765</xdr:rowOff>
    </xdr:to>
    <xdr:sp macro="[0]!Operações_Dashboard_Movimentacao" textlink="">
      <xdr:nvSpPr>
        <xdr:cNvPr id="64" name="Retângulo de cantos arredondados 63"/>
        <xdr:cNvSpPr/>
      </xdr:nvSpPr>
      <xdr:spPr>
        <a:xfrm>
          <a:off x="684933" y="5643642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Movimentação</a:t>
          </a:r>
        </a:p>
      </xdr:txBody>
    </xdr:sp>
    <xdr:clientData fLocksWithSheet="0"/>
  </xdr:twoCellAnchor>
  <xdr:twoCellAnchor editAs="absolute">
    <xdr:from>
      <xdr:col>1</xdr:col>
      <xdr:colOff>78797</xdr:colOff>
      <xdr:row>33</xdr:row>
      <xdr:rowOff>22216</xdr:rowOff>
    </xdr:from>
    <xdr:to>
      <xdr:col>5</xdr:col>
      <xdr:colOff>283918</xdr:colOff>
      <xdr:row>35</xdr:row>
      <xdr:rowOff>60839</xdr:rowOff>
    </xdr:to>
    <xdr:sp macro="[0]!Operações_Dashboard_Emprestimo" textlink="">
      <xdr:nvSpPr>
        <xdr:cNvPr id="65" name="Retângulo de cantos arredondados 64"/>
        <xdr:cNvSpPr/>
      </xdr:nvSpPr>
      <xdr:spPr>
        <a:xfrm>
          <a:off x="684933" y="6308716"/>
          <a:ext cx="2629667" cy="419623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Emprestimo</a:t>
          </a:r>
          <a:endParaRPr lang="pt-BR" sz="1100"/>
        </a:p>
      </xdr:txBody>
    </xdr:sp>
    <xdr:clientData fLocksWithSheet="0"/>
  </xdr:twoCellAnchor>
  <xdr:twoCellAnchor editAs="absolute">
    <xdr:from>
      <xdr:col>1</xdr:col>
      <xdr:colOff>78797</xdr:colOff>
      <xdr:row>36</xdr:row>
      <xdr:rowOff>115789</xdr:rowOff>
    </xdr:from>
    <xdr:to>
      <xdr:col>5</xdr:col>
      <xdr:colOff>283918</xdr:colOff>
      <xdr:row>38</xdr:row>
      <xdr:rowOff>154412</xdr:rowOff>
    </xdr:to>
    <xdr:sp macro="[0]!Operações_Dashboard_Anistia" textlink="">
      <xdr:nvSpPr>
        <xdr:cNvPr id="66" name="Retângulo de cantos arredondados 65"/>
        <xdr:cNvSpPr/>
      </xdr:nvSpPr>
      <xdr:spPr>
        <a:xfrm>
          <a:off x="691118" y="6851325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Anistia</a:t>
          </a:r>
        </a:p>
      </xdr:txBody>
    </xdr:sp>
    <xdr:clientData fLocksWithSheet="0"/>
  </xdr:twoCellAnchor>
  <xdr:twoCellAnchor>
    <xdr:from>
      <xdr:col>0</xdr:col>
      <xdr:colOff>564567</xdr:colOff>
      <xdr:row>14</xdr:row>
      <xdr:rowOff>153285</xdr:rowOff>
    </xdr:from>
    <xdr:to>
      <xdr:col>5</xdr:col>
      <xdr:colOff>438680</xdr:colOff>
      <xdr:row>17</xdr:row>
      <xdr:rowOff>128747</xdr:rowOff>
    </xdr:to>
    <xdr:sp macro="" textlink="">
      <xdr:nvSpPr>
        <xdr:cNvPr id="58" name="Retângulo de cantos arredondados 57"/>
        <xdr:cNvSpPr/>
      </xdr:nvSpPr>
      <xdr:spPr>
        <a:xfrm>
          <a:off x="564567" y="2820285"/>
          <a:ext cx="2904795" cy="546962"/>
        </a:xfrm>
        <a:prstGeom prst="roundRect">
          <a:avLst>
            <a:gd name="adj" fmla="val 12369"/>
          </a:avLst>
        </a:prstGeom>
        <a:solidFill>
          <a:srgbClr val="262B2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0</xdr:col>
      <xdr:colOff>564567</xdr:colOff>
      <xdr:row>40</xdr:row>
      <xdr:rowOff>174234</xdr:rowOff>
    </xdr:from>
    <xdr:to>
      <xdr:col>5</xdr:col>
      <xdr:colOff>438680</xdr:colOff>
      <xdr:row>55</xdr:row>
      <xdr:rowOff>85738</xdr:rowOff>
    </xdr:to>
    <xdr:grpSp>
      <xdr:nvGrpSpPr>
        <xdr:cNvPr id="105" name="Grupo 104"/>
        <xdr:cNvGrpSpPr/>
      </xdr:nvGrpSpPr>
      <xdr:grpSpPr>
        <a:xfrm>
          <a:off x="564567" y="7935345"/>
          <a:ext cx="2960919" cy="2821921"/>
          <a:chOff x="414618" y="5109882"/>
          <a:chExt cx="1871382" cy="1815353"/>
        </a:xfrm>
      </xdr:grpSpPr>
      <xdr:sp macro="" textlink="">
        <xdr:nvSpPr>
          <xdr:cNvPr id="55" name="Retângulo de cantos arredondados 54"/>
          <xdr:cNvSpPr/>
        </xdr:nvSpPr>
        <xdr:spPr>
          <a:xfrm>
            <a:off x="414618" y="5109882"/>
            <a:ext cx="1871382" cy="1815353"/>
          </a:xfrm>
          <a:prstGeom prst="roundRect">
            <a:avLst>
              <a:gd name="adj" fmla="val 2994"/>
            </a:avLst>
          </a:prstGeom>
          <a:solidFill>
            <a:srgbClr val="262B2F">
              <a:alpha val="6392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sp macro="" textlink="">
        <xdr:nvSpPr>
          <xdr:cNvPr id="61" name="Retângulo de cantos arredondados 60"/>
          <xdr:cNvSpPr/>
        </xdr:nvSpPr>
        <xdr:spPr>
          <a:xfrm>
            <a:off x="414618" y="5121089"/>
            <a:ext cx="1871382" cy="358587"/>
          </a:xfrm>
          <a:prstGeom prst="roundRect">
            <a:avLst>
              <a:gd name="adj" fmla="val 12369"/>
            </a:avLst>
          </a:prstGeom>
          <a:solidFill>
            <a:srgbClr val="262B2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</xdr:grpSp>
    <xdr:clientData/>
  </xdr:twoCellAnchor>
  <xdr:twoCellAnchor>
    <xdr:from>
      <xdr:col>7</xdr:col>
      <xdr:colOff>182043</xdr:colOff>
      <xdr:row>2</xdr:row>
      <xdr:rowOff>85129</xdr:rowOff>
    </xdr:from>
    <xdr:to>
      <xdr:col>35</xdr:col>
      <xdr:colOff>161960</xdr:colOff>
      <xdr:row>7</xdr:row>
      <xdr:rowOff>41966</xdr:rowOff>
    </xdr:to>
    <xdr:sp macro="" textlink="">
      <xdr:nvSpPr>
        <xdr:cNvPr id="4" name="Retângulo de cantos arredondados 3"/>
        <xdr:cNvSpPr/>
      </xdr:nvSpPr>
      <xdr:spPr>
        <a:xfrm>
          <a:off x="4468293" y="466129"/>
          <a:ext cx="18444810" cy="909337"/>
        </a:xfrm>
        <a:prstGeom prst="roundRect">
          <a:avLst/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360380</xdr:colOff>
      <xdr:row>2</xdr:row>
      <xdr:rowOff>123337</xdr:rowOff>
    </xdr:from>
    <xdr:to>
      <xdr:col>34</xdr:col>
      <xdr:colOff>116970</xdr:colOff>
      <xdr:row>7</xdr:row>
      <xdr:rowOff>11402</xdr:rowOff>
    </xdr:to>
    <xdr:sp macro="" textlink="">
      <xdr:nvSpPr>
        <xdr:cNvPr id="38" name="CaixaDeTexto 37"/>
        <xdr:cNvSpPr txBox="1"/>
      </xdr:nvSpPr>
      <xdr:spPr>
        <a:xfrm>
          <a:off x="5258951" y="504337"/>
          <a:ext cx="16996840" cy="840565"/>
        </a:xfrm>
        <a:prstGeom prst="roundRect">
          <a:avLst>
            <a:gd name="adj" fmla="val 50000"/>
          </a:avLst>
        </a:prstGeom>
        <a:solidFill>
          <a:srgbClr val="1A1F2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800">
              <a:solidFill>
                <a:schemeClr val="bg1"/>
              </a:solidFill>
            </a:rPr>
            <a:t>Planilha</a:t>
          </a:r>
          <a:r>
            <a:rPr lang="pt-BR" sz="2800" baseline="0">
              <a:solidFill>
                <a:schemeClr val="bg1"/>
              </a:solidFill>
            </a:rPr>
            <a:t> Financeira</a:t>
          </a:r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34</xdr:col>
      <xdr:colOff>139667</xdr:colOff>
      <xdr:row>3</xdr:row>
      <xdr:rowOff>82247</xdr:rowOff>
    </xdr:from>
    <xdr:to>
      <xdr:col>35</xdr:col>
      <xdr:colOff>21572</xdr:colOff>
      <xdr:row>5</xdr:row>
      <xdr:rowOff>179519</xdr:rowOff>
    </xdr:to>
    <xdr:grpSp>
      <xdr:nvGrpSpPr>
        <xdr:cNvPr id="71" name="Grupo 70"/>
        <xdr:cNvGrpSpPr/>
      </xdr:nvGrpSpPr>
      <xdr:grpSpPr>
        <a:xfrm>
          <a:off x="22452861" y="664330"/>
          <a:ext cx="499267" cy="485328"/>
          <a:chOff x="8299104" y="2662140"/>
          <a:chExt cx="496163" cy="490764"/>
        </a:xfrm>
      </xdr:grpSpPr>
      <xdr:sp macro="[0]!GuiaPlanilhaFinanceira" textlink="">
        <xdr:nvSpPr>
          <xdr:cNvPr id="72" name="Elipse 71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lanilhaFinanceira">
        <xdr:nvPicPr>
          <xdr:cNvPr id="73" name="Imagem 72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6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525165</xdr:colOff>
      <xdr:row>59</xdr:row>
      <xdr:rowOff>112234</xdr:rowOff>
    </xdr:from>
    <xdr:to>
      <xdr:col>35</xdr:col>
      <xdr:colOff>558458</xdr:colOff>
      <xdr:row>61</xdr:row>
      <xdr:rowOff>177349</xdr:rowOff>
    </xdr:to>
    <xdr:sp macro="[0]!Restaurar.Restaurar" textlink="">
      <xdr:nvSpPr>
        <xdr:cNvPr id="79" name="Retângulo de cantos arredondados 78"/>
        <xdr:cNvSpPr/>
      </xdr:nvSpPr>
      <xdr:spPr>
        <a:xfrm>
          <a:off x="19602379" y="11351734"/>
          <a:ext cx="370722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Alterar Modo</a:t>
          </a:r>
        </a:p>
      </xdr:txBody>
    </xdr:sp>
    <xdr:clientData fLocksWithSheet="0"/>
  </xdr:twoCellAnchor>
  <xdr:twoCellAnchor>
    <xdr:from>
      <xdr:col>7</xdr:col>
      <xdr:colOff>286311</xdr:colOff>
      <xdr:row>38</xdr:row>
      <xdr:rowOff>46117</xdr:rowOff>
    </xdr:from>
    <xdr:to>
      <xdr:col>22</xdr:col>
      <xdr:colOff>155705</xdr:colOff>
      <xdr:row>59</xdr:row>
      <xdr:rowOff>51395</xdr:rowOff>
    </xdr:to>
    <xdr:grpSp>
      <xdr:nvGrpSpPr>
        <xdr:cNvPr id="93" name="Grupo 92"/>
        <xdr:cNvGrpSpPr/>
      </xdr:nvGrpSpPr>
      <xdr:grpSpPr>
        <a:xfrm>
          <a:off x="4607839" y="7419173"/>
          <a:ext cx="9129810" cy="4079861"/>
          <a:chOff x="2930109" y="2276024"/>
          <a:chExt cx="4426967" cy="3124469"/>
        </a:xfrm>
      </xdr:grpSpPr>
      <xdr:sp macro="" textlink="">
        <xdr:nvSpPr>
          <xdr:cNvPr id="16" name="Retângulo de cantos arredondados 15"/>
          <xdr:cNvSpPr/>
        </xdr:nvSpPr>
        <xdr:spPr>
          <a:xfrm>
            <a:off x="2930109" y="2276024"/>
            <a:ext cx="4426948" cy="3124469"/>
          </a:xfrm>
          <a:prstGeom prst="roundRect">
            <a:avLst>
              <a:gd name="adj" fmla="val 2875"/>
            </a:avLst>
          </a:prstGeom>
          <a:solidFill>
            <a:srgbClr val="1A1F2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indent="0" algn="ctr"/>
            <a:endParaRPr lang="pt-BR" sz="14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aphicFrame macro="">
        <xdr:nvGraphicFramePr>
          <xdr:cNvPr id="80" name="Gráfico 79"/>
          <xdr:cNvGraphicFramePr/>
        </xdr:nvGraphicFramePr>
        <xdr:xfrm>
          <a:off x="2932376" y="2334609"/>
          <a:ext cx="4424700" cy="305312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>
    <xdr:from>
      <xdr:col>17</xdr:col>
      <xdr:colOff>255134</xdr:colOff>
      <xdr:row>17</xdr:row>
      <xdr:rowOff>171833</xdr:rowOff>
    </xdr:from>
    <xdr:to>
      <xdr:col>26</xdr:col>
      <xdr:colOff>774795</xdr:colOff>
      <xdr:row>37</xdr:row>
      <xdr:rowOff>160055</xdr:rowOff>
    </xdr:to>
    <xdr:sp macro="" textlink="">
      <xdr:nvSpPr>
        <xdr:cNvPr id="96" name="Retângulo de cantos arredondados 95"/>
        <xdr:cNvSpPr/>
      </xdr:nvSpPr>
      <xdr:spPr>
        <a:xfrm>
          <a:off x="10664598" y="3352503"/>
          <a:ext cx="6625867" cy="3730186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859986</xdr:colOff>
      <xdr:row>17</xdr:row>
      <xdr:rowOff>172076</xdr:rowOff>
    </xdr:from>
    <xdr:to>
      <xdr:col>35</xdr:col>
      <xdr:colOff>107308</xdr:colOff>
      <xdr:row>37</xdr:row>
      <xdr:rowOff>127428</xdr:rowOff>
    </xdr:to>
    <xdr:sp macro="" textlink="">
      <xdr:nvSpPr>
        <xdr:cNvPr id="17" name="Retângulo de cantos arredondados 16"/>
        <xdr:cNvSpPr/>
      </xdr:nvSpPr>
      <xdr:spPr>
        <a:xfrm>
          <a:off x="17225668" y="3410576"/>
          <a:ext cx="5429913" cy="3765352"/>
        </a:xfrm>
        <a:prstGeom prst="roundRect">
          <a:avLst>
            <a:gd name="adj" fmla="val 955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26</xdr:col>
      <xdr:colOff>884464</xdr:colOff>
      <xdr:row>18</xdr:row>
      <xdr:rowOff>44478</xdr:rowOff>
    </xdr:from>
    <xdr:to>
      <xdr:col>34</xdr:col>
      <xdr:colOff>536800</xdr:colOff>
      <xdr:row>34</xdr:row>
      <xdr:rowOff>23967</xdr:rowOff>
    </xdr:to>
    <xdr:graphicFrame macro="">
      <xdr:nvGraphicFramePr>
        <xdr:cNvPr id="35" name="Gráfico 3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28</xdr:col>
      <xdr:colOff>210622</xdr:colOff>
      <xdr:row>34</xdr:row>
      <xdr:rowOff>105141</xdr:rowOff>
    </xdr:from>
    <xdr:to>
      <xdr:col>33</xdr:col>
      <xdr:colOff>204</xdr:colOff>
      <xdr:row>36</xdr:row>
      <xdr:rowOff>126647</xdr:rowOff>
    </xdr:to>
    <xdr:sp macro="[0]!changePercentual" textlink="">
      <xdr:nvSpPr>
        <xdr:cNvPr id="36" name="Retângulo de cantos arredondados 35"/>
        <xdr:cNvSpPr/>
      </xdr:nvSpPr>
      <xdr:spPr>
        <a:xfrm>
          <a:off x="18515940" y="6582141"/>
          <a:ext cx="2815707" cy="402506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Modificar</a:t>
          </a:r>
        </a:p>
      </xdr:txBody>
    </xdr:sp>
    <xdr:clientData fLocksWithSheet="0"/>
  </xdr:twoCellAnchor>
  <xdr:twoCellAnchor editAs="absolute">
    <xdr:from>
      <xdr:col>34</xdr:col>
      <xdr:colOff>206618</xdr:colOff>
      <xdr:row>18</xdr:row>
      <xdr:rowOff>62065</xdr:rowOff>
    </xdr:from>
    <xdr:to>
      <xdr:col>34</xdr:col>
      <xdr:colOff>583346</xdr:colOff>
      <xdr:row>20</xdr:row>
      <xdr:rowOff>50688</xdr:rowOff>
    </xdr:to>
    <xdr:grpSp>
      <xdr:nvGrpSpPr>
        <xdr:cNvPr id="83" name="Grupo 82"/>
        <xdr:cNvGrpSpPr/>
      </xdr:nvGrpSpPr>
      <xdr:grpSpPr>
        <a:xfrm>
          <a:off x="22519812" y="3554565"/>
          <a:ext cx="376728" cy="376679"/>
          <a:chOff x="22024470" y="3535889"/>
          <a:chExt cx="376728" cy="369623"/>
        </a:xfrm>
      </xdr:grpSpPr>
      <xdr:sp macro="[0]!GuiaPercentuais" textlink="">
        <xdr:nvSpPr>
          <xdr:cNvPr id="76" name="Elipse 75"/>
          <xdr:cNvSpPr/>
        </xdr:nvSpPr>
        <xdr:spPr>
          <a:xfrm>
            <a:off x="22024470" y="3535889"/>
            <a:ext cx="376728" cy="369623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ercentuais">
        <xdr:nvPicPr>
          <xdr:cNvPr id="78" name="Imagem 77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22094171" y="3603709"/>
            <a:ext cx="237324" cy="233984"/>
          </a:xfrm>
          <a:prstGeom prst="rect">
            <a:avLst/>
          </a:prstGeom>
        </xdr:spPr>
      </xdr:pic>
    </xdr:grpSp>
    <xdr:clientData fLocksWithSheet="0"/>
  </xdr:twoCellAnchor>
  <xdr:twoCellAnchor>
    <xdr:from>
      <xdr:col>7</xdr:col>
      <xdr:colOff>261919</xdr:colOff>
      <xdr:row>17</xdr:row>
      <xdr:rowOff>144617</xdr:rowOff>
    </xdr:from>
    <xdr:to>
      <xdr:col>17</xdr:col>
      <xdr:colOff>153081</xdr:colOff>
      <xdr:row>37</xdr:row>
      <xdr:rowOff>127428</xdr:rowOff>
    </xdr:to>
    <xdr:sp macro="" textlink="">
      <xdr:nvSpPr>
        <xdr:cNvPr id="32" name="Retângulo de cantos arredondados 31"/>
        <xdr:cNvSpPr/>
      </xdr:nvSpPr>
      <xdr:spPr>
        <a:xfrm>
          <a:off x="4548169" y="3325287"/>
          <a:ext cx="6014376" cy="3724775"/>
        </a:xfrm>
        <a:prstGeom prst="roundRect">
          <a:avLst>
            <a:gd name="adj" fmla="val 1597"/>
          </a:avLst>
        </a:prstGeom>
        <a:solidFill>
          <a:srgbClr val="1A1F2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endParaRPr lang="pt-BR" sz="16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290951</xdr:colOff>
      <xdr:row>17</xdr:row>
      <xdr:rowOff>173183</xdr:rowOff>
    </xdr:from>
    <xdr:to>
      <xdr:col>17</xdr:col>
      <xdr:colOff>17009</xdr:colOff>
      <xdr:row>37</xdr:row>
      <xdr:rowOff>17319</xdr:rowOff>
    </xdr:to>
    <xdr:graphicFrame macro="">
      <xdr:nvGraphicFramePr>
        <xdr:cNvPr id="77" name="Gráfico 7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16</xdr:col>
      <xdr:colOff>218360</xdr:colOff>
      <xdr:row>18</xdr:row>
      <xdr:rowOff>58549</xdr:rowOff>
    </xdr:from>
    <xdr:to>
      <xdr:col>16</xdr:col>
      <xdr:colOff>596652</xdr:colOff>
      <xdr:row>20</xdr:row>
      <xdr:rowOff>47172</xdr:rowOff>
    </xdr:to>
    <xdr:grpSp>
      <xdr:nvGrpSpPr>
        <xdr:cNvPr id="84" name="Grupo 83"/>
        <xdr:cNvGrpSpPr/>
      </xdr:nvGrpSpPr>
      <xdr:grpSpPr>
        <a:xfrm>
          <a:off x="10096138" y="3551049"/>
          <a:ext cx="378292" cy="376679"/>
          <a:chOff x="8299104" y="2662140"/>
          <a:chExt cx="496163" cy="490764"/>
        </a:xfrm>
      </xdr:grpSpPr>
      <xdr:sp macro="[0]!GuiaParcelamentos" textlink="">
        <xdr:nvSpPr>
          <xdr:cNvPr id="85" name="Elipse 84"/>
          <xdr:cNvSpPr/>
        </xdr:nvSpPr>
        <xdr:spPr>
          <a:xfrm>
            <a:off x="8299104" y="2662140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Parcelamentos">
        <xdr:nvPicPr>
          <xdr:cNvPr id="86" name="Imagem 85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8390903" y="2752187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>
    <xdr:from>
      <xdr:col>1</xdr:col>
      <xdr:colOff>611075</xdr:colOff>
      <xdr:row>15</xdr:row>
      <xdr:rowOff>77304</xdr:rowOff>
    </xdr:from>
    <xdr:to>
      <xdr:col>4</xdr:col>
      <xdr:colOff>461846</xdr:colOff>
      <xdr:row>17</xdr:row>
      <xdr:rowOff>86591</xdr:rowOff>
    </xdr:to>
    <xdr:sp macro="" textlink="">
      <xdr:nvSpPr>
        <xdr:cNvPr id="59" name="CaixaDeTexto 58"/>
        <xdr:cNvSpPr txBox="1"/>
      </xdr:nvSpPr>
      <xdr:spPr>
        <a:xfrm>
          <a:off x="1223396" y="2934804"/>
          <a:ext cx="1687736" cy="3902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Operação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1</xdr:col>
      <xdr:colOff>611075</xdr:colOff>
      <xdr:row>41</xdr:row>
      <xdr:rowOff>98422</xdr:rowOff>
    </xdr:from>
    <xdr:to>
      <xdr:col>4</xdr:col>
      <xdr:colOff>461846</xdr:colOff>
      <xdr:row>43</xdr:row>
      <xdr:rowOff>69273</xdr:rowOff>
    </xdr:to>
    <xdr:sp macro="" textlink="">
      <xdr:nvSpPr>
        <xdr:cNvPr id="69" name="CaixaDeTexto 68"/>
        <xdr:cNvSpPr txBox="1"/>
      </xdr:nvSpPr>
      <xdr:spPr>
        <a:xfrm>
          <a:off x="1223396" y="7908922"/>
          <a:ext cx="1687736" cy="3518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000" b="0" i="0" u="none" strike="noStrike" baseline="0">
              <a:solidFill>
                <a:schemeClr val="bg1"/>
              </a:solidFill>
              <a:latin typeface="Lucida Sans Unicode" pitchFamily="34" charset="0"/>
              <a:ea typeface="+mn-ea"/>
              <a:cs typeface="Lucida Sans Unicode" pitchFamily="34" charset="0"/>
            </a:rPr>
            <a:t>Análise</a:t>
          </a:r>
          <a:endParaRPr lang="pt-BR" sz="1000" b="0" i="0" u="none" strike="noStrike" baseline="0">
            <a:solidFill>
              <a:schemeClr val="bg1"/>
            </a:solidFill>
            <a:latin typeface="Lucida Sans Unicode" pitchFamily="34" charset="0"/>
            <a:ea typeface="+mn-ea"/>
            <a:cs typeface="Lucida Sans Unicode" pitchFamily="34" charset="0"/>
          </a:endParaRPr>
        </a:p>
      </xdr:txBody>
    </xdr:sp>
    <xdr:clientData/>
  </xdr:twoCellAnchor>
  <xdr:twoCellAnchor>
    <xdr:from>
      <xdr:col>22</xdr:col>
      <xdr:colOff>452437</xdr:colOff>
      <xdr:row>38</xdr:row>
      <xdr:rowOff>142875</xdr:rowOff>
    </xdr:from>
    <xdr:to>
      <xdr:col>34</xdr:col>
      <xdr:colOff>489857</xdr:colOff>
      <xdr:row>59</xdr:row>
      <xdr:rowOff>95250</xdr:rowOff>
    </xdr:to>
    <xdr:graphicFrame macro="">
      <xdr:nvGraphicFramePr>
        <xdr:cNvPr id="87" name="Gráfico 8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340179</xdr:colOff>
      <xdr:row>18</xdr:row>
      <xdr:rowOff>18553</xdr:rowOff>
    </xdr:from>
    <xdr:to>
      <xdr:col>26</xdr:col>
      <xdr:colOff>550163</xdr:colOff>
      <xdr:row>38</xdr:row>
      <xdr:rowOff>53189</xdr:rowOff>
    </xdr:to>
    <xdr:graphicFrame macro="">
      <xdr:nvGraphicFramePr>
        <xdr:cNvPr id="82" name="Gráfico 8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26</xdr:col>
      <xdr:colOff>263147</xdr:colOff>
      <xdr:row>18</xdr:row>
      <xdr:rowOff>74139</xdr:rowOff>
    </xdr:from>
    <xdr:to>
      <xdr:col>26</xdr:col>
      <xdr:colOff>640154</xdr:colOff>
      <xdr:row>20</xdr:row>
      <xdr:rowOff>62762</xdr:rowOff>
    </xdr:to>
    <xdr:grpSp>
      <xdr:nvGrpSpPr>
        <xdr:cNvPr id="67" name="Grupo 66"/>
        <xdr:cNvGrpSpPr/>
      </xdr:nvGrpSpPr>
      <xdr:grpSpPr>
        <a:xfrm>
          <a:off x="16914258" y="3566639"/>
          <a:ext cx="377007" cy="376679"/>
          <a:chOff x="17664877" y="2318871"/>
          <a:chExt cx="496163" cy="490764"/>
        </a:xfrm>
      </xdr:grpSpPr>
      <xdr:sp macro="[0]!GuiaCredito" textlink="">
        <xdr:nvSpPr>
          <xdr:cNvPr id="70" name="Elipse 69"/>
          <xdr:cNvSpPr/>
        </xdr:nvSpPr>
        <xdr:spPr>
          <a:xfrm>
            <a:off x="17664877" y="2318871"/>
            <a:ext cx="496163" cy="490764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 macro="[0]!GuiaCredito">
        <xdr:nvPicPr>
          <xdr:cNvPr id="74" name="Imagem 73" descr="question-mark (1).png"/>
          <xdr:cNvPicPr>
            <a:picLocks noChangeAspect="1"/>
          </xdr:cNvPicPr>
        </xdr:nvPicPr>
        <xdr:blipFill>
          <a:blip xmlns:r="http://schemas.openxmlformats.org/officeDocument/2006/relationships" r:embed="rId9" cstate="print"/>
          <a:stretch>
            <a:fillRect/>
          </a:stretch>
        </xdr:blipFill>
        <xdr:spPr>
          <a:xfrm>
            <a:off x="17774593" y="2408916"/>
            <a:ext cx="312564" cy="310670"/>
          </a:xfrm>
          <a:prstGeom prst="rect">
            <a:avLst/>
          </a:prstGeom>
        </xdr:spPr>
      </xdr:pic>
    </xdr:grpSp>
    <xdr:clientData fLocksWithSheet="0"/>
  </xdr:twoCellAnchor>
  <xdr:twoCellAnchor editAs="absolute">
    <xdr:from>
      <xdr:col>29</xdr:col>
      <xdr:colOff>404527</xdr:colOff>
      <xdr:row>0</xdr:row>
      <xdr:rowOff>0</xdr:rowOff>
    </xdr:from>
    <xdr:to>
      <xdr:col>35</xdr:col>
      <xdr:colOff>438171</xdr:colOff>
      <xdr:row>2</xdr:row>
      <xdr:rowOff>65115</xdr:rowOff>
    </xdr:to>
    <xdr:sp macro="[0]!refresh" textlink="">
      <xdr:nvSpPr>
        <xdr:cNvPr id="75" name="Retângulo de cantos arredondados 74"/>
        <xdr:cNvSpPr/>
      </xdr:nvSpPr>
      <xdr:spPr>
        <a:xfrm>
          <a:off x="19315982" y="0"/>
          <a:ext cx="3670462" cy="446115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2000">
              <a:solidFill>
                <a:schemeClr val="lt1"/>
              </a:solidFill>
              <a:latin typeface="+mn-lt"/>
              <a:ea typeface="+mn-ea"/>
              <a:cs typeface="+mn-cs"/>
            </a:rPr>
            <a:t>Atualizar Planilha</a:t>
          </a:r>
        </a:p>
      </xdr:txBody>
    </xdr:sp>
    <xdr:clientData fLocksWithSheet="0"/>
  </xdr:twoCellAnchor>
  <xdr:twoCellAnchor editAs="absolute">
    <xdr:from>
      <xdr:col>1</xdr:col>
      <xdr:colOff>71308</xdr:colOff>
      <xdr:row>44</xdr:row>
      <xdr:rowOff>89190</xdr:rowOff>
    </xdr:from>
    <xdr:to>
      <xdr:col>5</xdr:col>
      <xdr:colOff>276429</xdr:colOff>
      <xdr:row>46</xdr:row>
      <xdr:rowOff>127812</xdr:rowOff>
    </xdr:to>
    <xdr:sp macro="" textlink="">
      <xdr:nvSpPr>
        <xdr:cNvPr id="91" name="Retângulo de cantos arredondados 90"/>
        <xdr:cNvSpPr/>
      </xdr:nvSpPr>
      <xdr:spPr>
        <a:xfrm>
          <a:off x="683629" y="8321511"/>
          <a:ext cx="2654407" cy="412819"/>
        </a:xfrm>
        <a:prstGeom prst="roundRect">
          <a:avLst/>
        </a:prstGeom>
        <a:solidFill>
          <a:srgbClr val="0A014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2000"/>
            <a:t>Em Breve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142875</xdr:colOff>
      <xdr:row>8</xdr:row>
      <xdr:rowOff>123825</xdr:rowOff>
    </xdr:from>
    <xdr:to>
      <xdr:col>25</xdr:col>
      <xdr:colOff>466725</xdr:colOff>
      <xdr:row>23</xdr:row>
      <xdr:rowOff>9525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123825</xdr:colOff>
      <xdr:row>7</xdr:row>
      <xdr:rowOff>19050</xdr:rowOff>
    </xdr:from>
    <xdr:to>
      <xdr:col>33</xdr:col>
      <xdr:colOff>352425</xdr:colOff>
      <xdr:row>21</xdr:row>
      <xdr:rowOff>95250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504825</xdr:colOff>
      <xdr:row>8</xdr:row>
      <xdr:rowOff>19050</xdr:rowOff>
    </xdr:from>
    <xdr:to>
      <xdr:col>42</xdr:col>
      <xdr:colOff>257175</xdr:colOff>
      <xdr:row>22</xdr:row>
      <xdr:rowOff>95250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13606</xdr:colOff>
      <xdr:row>7</xdr:row>
      <xdr:rowOff>27215</xdr:rowOff>
    </xdr:from>
    <xdr:to>
      <xdr:col>51</xdr:col>
      <xdr:colOff>122464</xdr:colOff>
      <xdr:row>24</xdr:row>
      <xdr:rowOff>95251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40821</xdr:colOff>
      <xdr:row>14</xdr:row>
      <xdr:rowOff>95251</xdr:rowOff>
    </xdr:from>
    <xdr:to>
      <xdr:col>8</xdr:col>
      <xdr:colOff>503464</xdr:colOff>
      <xdr:row>34</xdr:row>
      <xdr:rowOff>68036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1236</xdr:colOff>
      <xdr:row>1</xdr:row>
      <xdr:rowOff>4948</xdr:rowOff>
    </xdr:from>
    <xdr:to>
      <xdr:col>3</xdr:col>
      <xdr:colOff>27214</xdr:colOff>
      <xdr:row>2</xdr:row>
      <xdr:rowOff>0</xdr:rowOff>
    </xdr:to>
    <xdr:sp macro="[0]!ResetDeposito" textlink="">
      <xdr:nvSpPr>
        <xdr:cNvPr id="2" name="Retângulo de cantos arredondados 1"/>
        <xdr:cNvSpPr/>
      </xdr:nvSpPr>
      <xdr:spPr>
        <a:xfrm>
          <a:off x="613557" y="195448"/>
          <a:ext cx="2053443" cy="335231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Depositos</a:t>
          </a:r>
          <a:endParaRPr lang="pt-BR" sz="10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122465</xdr:colOff>
      <xdr:row>4</xdr:row>
      <xdr:rowOff>137118</xdr:rowOff>
    </xdr:from>
    <xdr:to>
      <xdr:col>16</xdr:col>
      <xdr:colOff>1416190</xdr:colOff>
      <xdr:row>5</xdr:row>
      <xdr:rowOff>176821</xdr:rowOff>
    </xdr:to>
    <xdr:sp macro="" textlink="">
      <xdr:nvSpPr>
        <xdr:cNvPr id="2" name="Retângulo de cantos arredondados 1"/>
        <xdr:cNvSpPr/>
      </xdr:nvSpPr>
      <xdr:spPr>
        <a:xfrm>
          <a:off x="19689536" y="3008225"/>
          <a:ext cx="1851618" cy="230203"/>
        </a:xfrm>
        <a:prstGeom prst="roundRect">
          <a:avLst>
            <a:gd name="adj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100"/>
            <a:t>Contabilizar</a:t>
          </a:r>
        </a:p>
      </xdr:txBody>
    </xdr:sp>
    <xdr:clientData/>
  </xdr:twoCellAnchor>
  <xdr:twoCellAnchor>
    <xdr:from>
      <xdr:col>1</xdr:col>
      <xdr:colOff>0</xdr:colOff>
      <xdr:row>1</xdr:row>
      <xdr:rowOff>2</xdr:rowOff>
    </xdr:from>
    <xdr:to>
      <xdr:col>2</xdr:col>
      <xdr:colOff>312963</xdr:colOff>
      <xdr:row>2</xdr:row>
      <xdr:rowOff>1</xdr:rowOff>
    </xdr:to>
    <xdr:sp macro="[0]!ResetSaque" textlink="">
      <xdr:nvSpPr>
        <xdr:cNvPr id="3" name="Retângulo de cantos arredondados 2"/>
        <xdr:cNvSpPr/>
      </xdr:nvSpPr>
      <xdr:spPr>
        <a:xfrm>
          <a:off x="1673679" y="190502"/>
          <a:ext cx="1660070" cy="394606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Saques</a:t>
          </a:r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4019</xdr:colOff>
      <xdr:row>5</xdr:row>
      <xdr:rowOff>1</xdr:rowOff>
    </xdr:from>
    <xdr:to>
      <xdr:col>20</xdr:col>
      <xdr:colOff>1763297</xdr:colOff>
      <xdr:row>5</xdr:row>
      <xdr:rowOff>289035</xdr:rowOff>
    </xdr:to>
    <xdr:sp macro="[0]!ResetDevedores" textlink="">
      <xdr:nvSpPr>
        <xdr:cNvPr id="2" name="Retângulo de cantos arredondados 1"/>
        <xdr:cNvSpPr/>
      </xdr:nvSpPr>
      <xdr:spPr>
        <a:xfrm>
          <a:off x="27672502" y="1156139"/>
          <a:ext cx="1759278" cy="289034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Devedores</a:t>
          </a:r>
          <a:endParaRPr lang="pt-BR" sz="1000"/>
        </a:p>
      </xdr:txBody>
    </xdr:sp>
    <xdr:clientData/>
  </xdr:twoCellAnchor>
  <xdr:twoCellAnchor>
    <xdr:from>
      <xdr:col>1</xdr:col>
      <xdr:colOff>2166</xdr:colOff>
      <xdr:row>0</xdr:row>
      <xdr:rowOff>188056</xdr:rowOff>
    </xdr:from>
    <xdr:to>
      <xdr:col>3</xdr:col>
      <xdr:colOff>5953</xdr:colOff>
      <xdr:row>2</xdr:row>
      <xdr:rowOff>5954</xdr:rowOff>
    </xdr:to>
    <xdr:sp macro="[0]!ResetEmprestimos" textlink="">
      <xdr:nvSpPr>
        <xdr:cNvPr id="3" name="Retângulo de cantos arredondados 2"/>
        <xdr:cNvSpPr/>
      </xdr:nvSpPr>
      <xdr:spPr>
        <a:xfrm>
          <a:off x="609385" y="188056"/>
          <a:ext cx="2587443" cy="40725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Emprestimos</a:t>
          </a:r>
          <a:endParaRPr lang="pt-BR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2</xdr:row>
      <xdr:rowOff>1</xdr:rowOff>
    </xdr:from>
    <xdr:to>
      <xdr:col>3</xdr:col>
      <xdr:colOff>170613</xdr:colOff>
      <xdr:row>2</xdr:row>
      <xdr:rowOff>337038</xdr:rowOff>
    </xdr:to>
    <xdr:sp macro="[0]!ResetMovimentacoes" textlink="">
      <xdr:nvSpPr>
        <xdr:cNvPr id="2" name="Retângulo de cantos arredondados 1"/>
        <xdr:cNvSpPr/>
      </xdr:nvSpPr>
      <xdr:spPr>
        <a:xfrm>
          <a:off x="615462" y="381001"/>
          <a:ext cx="2251459" cy="337037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Movimentações</a:t>
          </a:r>
          <a:endParaRPr lang="pt-BR" sz="1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2</xdr:col>
      <xdr:colOff>312963</xdr:colOff>
      <xdr:row>3</xdr:row>
      <xdr:rowOff>1</xdr:rowOff>
    </xdr:to>
    <xdr:sp macro="[0]!ResetPagamentos" textlink="">
      <xdr:nvSpPr>
        <xdr:cNvPr id="2" name="Retângulo de cantos arredondados 1"/>
        <xdr:cNvSpPr/>
      </xdr:nvSpPr>
      <xdr:spPr>
        <a:xfrm>
          <a:off x="581025" y="190502"/>
          <a:ext cx="1665513" cy="400049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Pagamentos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6569</xdr:colOff>
      <xdr:row>1</xdr:row>
      <xdr:rowOff>9525</xdr:rowOff>
    </xdr:from>
    <xdr:to>
      <xdr:col>2</xdr:col>
      <xdr:colOff>1370006</xdr:colOff>
      <xdr:row>2</xdr:row>
      <xdr:rowOff>0</xdr:rowOff>
    </xdr:to>
    <xdr:sp macro="[0]!ResetParcelamentos" textlink="">
      <xdr:nvSpPr>
        <xdr:cNvPr id="2" name="Retângulo de cantos arredondados 1"/>
        <xdr:cNvSpPr/>
      </xdr:nvSpPr>
      <xdr:spPr>
        <a:xfrm>
          <a:off x="617483" y="200025"/>
          <a:ext cx="2256816" cy="325492"/>
        </a:xfrm>
        <a:prstGeom prst="roundRect">
          <a:avLst>
            <a:gd name="adj" fmla="val 0"/>
          </a:avLst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600"/>
            <a:t>Resetar Parcelamentos</a:t>
          </a:r>
          <a:endParaRPr lang="pt-BR" sz="10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Autor" refreshedDate="44968.534755555556" createdVersion="3" refreshedVersion="3" minRefreshableVersion="3" recordCount="1">
  <cacheSource type="worksheet">
    <worksheetSource name="Devedores"/>
  </cacheSource>
  <cacheFields count="3">
    <cacheField name="Nome" numFmtId="0">
      <sharedItems containsBlank="1" count="40">
        <s v="-"/>
        <m u="1"/>
        <s v="Z" u="1"/>
        <s v="S" u="1"/>
        <s v="Aurelio" u="1"/>
        <s v="Gabriel Darze" u="1"/>
        <s v="Marcelo" u="1"/>
        <s v="Q" u="1"/>
        <s v="Antonio" u="1"/>
        <s v="Miralva Correia" u="1"/>
        <s v="Suzete Peixoto" u="1"/>
        <s v="Adroaldo Neto" u="1"/>
        <s v="Maria Carolina" u="1"/>
        <s v="Mario Carlo" u="1"/>
        <s v="Gabriel Darzé" u="1"/>
        <s v="Pedro" u="1"/>
        <s v="Ronaldo Paulino" u="1"/>
        <s v="Mario Antonio" u="1"/>
        <s v="Marcos" u="1"/>
        <s v="A" u="1"/>
        <s v="Larissa" u="1"/>
        <s v="Larissa " u="1"/>
        <s v="Luiz Felipe" u="1"/>
        <s v="Joao" u="1"/>
        <s v="Nome" u="1"/>
        <s v="Wellington Junior" u="1"/>
        <s v="Rodrigo Peixoto" u="1"/>
        <s v="Wellington Junio" u="1"/>
        <s v="Jonathan" u="1"/>
        <s v="R" u="1"/>
        <s v="asd" u="1"/>
        <s v="Maria Amelia" u="1"/>
        <s v="W" u="1"/>
        <s v="Ana Beatriz" u="1"/>
        <s v="P" u="1"/>
        <s v="Naiana Sampaio" u="1"/>
        <s v="Rodrigo" u="1"/>
        <s v="B" u="1"/>
        <s v="Larissa Alves" u="1"/>
        <s v="Adroaldo" u="1"/>
      </sharedItems>
    </cacheField>
    <cacheField name="Divida Ativa" numFmtId="165">
      <sharedItems/>
    </cacheField>
    <cacheField name="Divida Anistiada" numFmtId="165">
      <sharedItems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or" refreshedDate="44968.534755555556" createdVersion="3" refreshedVersion="3" minRefreshableVersion="3" recordCount="1">
  <cacheSource type="worksheet">
    <worksheetSource name="Parcelamento"/>
  </cacheSource>
  <cacheFields count="9">
    <cacheField name="Data" numFmtId="14">
      <sharedItems/>
    </cacheField>
    <cacheField name="Valor do Parcelamento" numFmtId="165">
      <sharedItems/>
    </cacheField>
    <cacheField name="Tipo" numFmtId="49">
      <sharedItems count="3">
        <s v="-"/>
        <s v="Saque" u="1"/>
        <s v="Emprestimo" u="1"/>
      </sharedItems>
    </cacheField>
    <cacheField name="Banco" numFmtId="49">
      <sharedItems/>
    </cacheField>
    <cacheField name="Parcelas Totais" numFmtId="0">
      <sharedItems/>
    </cacheField>
    <cacheField name="Parcelas Pagas" numFmtId="0">
      <sharedItems/>
    </cacheField>
    <cacheField name="Valor da Parcela" numFmtId="165">
      <sharedItems/>
    </cacheField>
    <cacheField name="Valor Restante" numFmtId="165">
      <sharedItems/>
    </cacheField>
    <cacheField name="Responsável" numFmtId="0">
      <sharedItems/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or" refreshedDate="44968.534755555556" createdVersion="3" refreshedVersion="3" minRefreshableVersion="3" recordCount="1">
  <cacheSource type="worksheet">
    <worksheetSource name="Saque"/>
  </cacheSource>
  <cacheFields count="12">
    <cacheField name="Data Saque" numFmtId="14">
      <sharedItems containsDate="1" containsMixedTypes="1" minDate="2022-01-10T00:00:00" maxDate="2022-11-10T00:00:00" count="9">
        <s v="-"/>
        <d v="2022-10-25T00:00:00" u="1"/>
        <d v="2022-11-09T00:00:00" u="1"/>
        <d v="2022-06-01T00:00:00" u="1"/>
        <d v="2022-11-07T00:00:00" u="1"/>
        <d v="2022-11-05T00:00:00" u="1"/>
        <d v="2022-01-10T00:00:00" u="1"/>
        <d v="2022-01-15T00:00:00" u="1"/>
        <d v="2022-06-21T00:00:00" u="1"/>
      </sharedItems>
    </cacheField>
    <cacheField name="Valor" numFmtId="44">
      <sharedItems/>
    </cacheField>
    <cacheField name="Descrição" numFmtId="49">
      <sharedItems/>
    </cacheField>
    <cacheField name="Parcelas Totais" numFmtId="0">
      <sharedItems/>
    </cacheField>
    <cacheField name="Tipo" numFmtId="49">
      <sharedItems/>
    </cacheField>
    <cacheField name="Banco" numFmtId="49">
      <sharedItems/>
    </cacheField>
    <cacheField name="Gastos Pessoais" numFmtId="165">
      <sharedItems/>
    </cacheField>
    <cacheField name="Aplicações Financeiras" numFmtId="165">
      <sharedItems/>
    </cacheField>
    <cacheField name="Gastos Circunstanciais" numFmtId="165">
      <sharedItems/>
    </cacheField>
    <cacheField name="Metas" numFmtId="165">
      <sharedItems/>
    </cacheField>
    <cacheField name="Familia" numFmtId="165">
      <sharedItems/>
    </cacheField>
    <cacheField name="Total Saque" numFmtId="165">
      <sharedItems/>
    </cacheField>
  </cacheFields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utor" refreshedDate="44968.534755671295" createdVersion="3" refreshedVersion="3" minRefreshableVersion="3" recordCount="6">
  <cacheSource type="worksheet">
    <worksheetSource name="Saldos"/>
  </cacheSource>
  <cacheFields count="2">
    <cacheField name="Tipo" numFmtId="0">
      <sharedItems count="7">
        <s v="Saldo Bruto"/>
        <s v="Saldo Líquido"/>
        <s v="Saldo Hipotético"/>
        <s v="Crédito Total"/>
        <s v="Crédito Pessoal"/>
        <s v="Crédito Emprestado"/>
        <s v="Crédito" u="1"/>
      </sharedItems>
    </cacheField>
    <cacheField name="Saldo" numFmtId="165">
      <sharedItems containsSemiMixedTypes="0" containsString="0" containsNumber="1" containsInteger="1" minValue="0" maxValue="0"/>
    </cacheField>
  </cacheFields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utor" refreshedDate="44968.534755787034" createdVersion="3" refreshedVersion="3" minRefreshableVersion="3" recordCount="9">
  <cacheSource type="worksheet">
    <worksheetSource name="ValoresAplicados"/>
  </cacheSource>
  <cacheFields count="3">
    <cacheField name="Index" numFmtId="0">
      <sharedItems containsString="0" containsBlank="1" containsNumber="1" containsInteger="1" minValue="0" maxValue="4"/>
    </cacheField>
    <cacheField name="Valores Totais Aplicados" numFmtId="0">
      <sharedItems count="10">
        <s v="Gastos Pessoais"/>
        <s v="Aplicações Financeiras"/>
        <s v="Gastos Circunstanciais"/>
        <s v="Metas"/>
        <s v="Familia"/>
        <s v="Total"/>
        <s v="Crédito Total"/>
        <s v="Crédito Pessoal"/>
        <s v="Credito Emprestado"/>
        <s v="Crédito" u="1"/>
      </sharedItems>
    </cacheField>
    <cacheField name="Valores2" numFmtId="165">
      <sharedItems containsSemiMixedTypes="0" containsString="0" containsNumber="1" containsInteger="1" minValue="0" maxValue="0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-"/>
    <s v="-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s v="-"/>
    <s v="-"/>
    <x v="0"/>
    <s v="-"/>
    <s v="-"/>
    <s v="-"/>
    <s v="-"/>
    <s v="-"/>
    <s v="-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">
  <r>
    <x v="0"/>
    <s v="-"/>
    <s v="-"/>
    <s v="-"/>
    <s v="-"/>
    <s v="-"/>
    <s v="-"/>
    <s v="-"/>
    <s v="-"/>
    <s v="-"/>
    <s v="-"/>
    <s v="-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">
  <r>
    <x v="0"/>
    <n v="0"/>
  </r>
  <r>
    <x v="1"/>
    <n v="0"/>
  </r>
  <r>
    <x v="2"/>
    <n v="0"/>
  </r>
  <r>
    <x v="3"/>
    <n v="0"/>
  </r>
  <r>
    <x v="4"/>
    <n v="0"/>
  </r>
  <r>
    <x v="5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9">
  <r>
    <n v="0"/>
    <x v="0"/>
    <n v="0"/>
  </r>
  <r>
    <n v="1"/>
    <x v="1"/>
    <n v="0"/>
  </r>
  <r>
    <n v="0"/>
    <x v="2"/>
    <n v="0"/>
  </r>
  <r>
    <n v="3"/>
    <x v="3"/>
    <n v="0"/>
  </r>
  <r>
    <n v="4"/>
    <x v="4"/>
    <n v="0"/>
  </r>
  <r>
    <m/>
    <x v="5"/>
    <n v="0"/>
  </r>
  <r>
    <m/>
    <x v="6"/>
    <n v="0"/>
  </r>
  <r>
    <m/>
    <x v="7"/>
    <n v="0"/>
  </r>
  <r>
    <m/>
    <x v="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name="SaldosDinamica" cacheId="226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T3:BA5" firstHeaderRow="1" firstDataRow="2" firstDataCol="1"/>
  <pivotFields count="2">
    <pivotField axis="axisCol" showAll="0">
      <items count="8">
        <item m="1" x="6"/>
        <item x="0"/>
        <item x="2"/>
        <item x="1"/>
        <item x="4"/>
        <item x="5"/>
        <item x="3"/>
        <item t="default"/>
      </items>
    </pivotField>
    <pivotField dataField="1" numFmtId="165" showAll="0"/>
  </pivotFields>
  <rowItems count="1">
    <i/>
  </rowItems>
  <colFields count="1">
    <field x="0"/>
  </colFields>
  <colItems count="7"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oma de Saldo" fld="1" baseField="0" baseItem="0" numFmtId="44"/>
  </dataFields>
  <formats count="1">
    <format dxfId="114">
      <pivotArea outline="0" collapsedLevelsAreSubtotals="1" fieldPosition="0"/>
    </format>
  </formats>
  <chartFormats count="19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DevedoresDinamica" cacheId="217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 rowHeaderCaption="Devedores">
  <location ref="S3:U5" firstHeaderRow="1" firstDataRow="2" firstDataCol="1"/>
  <pivotFields count="3">
    <pivotField name="Devedores" axis="axisCol" showAll="0">
      <items count="41">
        <item x="0"/>
        <item m="1" x="8"/>
        <item m="1" x="23"/>
        <item m="1" x="36"/>
        <item m="1" x="15"/>
        <item m="1" x="39"/>
        <item m="1" x="18"/>
        <item m="1" x="28"/>
        <item m="1" x="20"/>
        <item m="1" x="1"/>
        <item m="1" x="6"/>
        <item m="1" x="29"/>
        <item m="1" x="19"/>
        <item m="1" x="34"/>
        <item m="1" x="3"/>
        <item m="1" x="2"/>
        <item m="1" x="32"/>
        <item m="1" x="7"/>
        <item m="1" x="37"/>
        <item m="1" x="26"/>
        <item m="1" x="21"/>
        <item m="1" x="17"/>
        <item m="1" x="13"/>
        <item m="1" x="4"/>
        <item m="1" x="38"/>
        <item m="1" x="16"/>
        <item m="1" x="10"/>
        <item m="1" x="12"/>
        <item m="1" x="31"/>
        <item m="1" x="35"/>
        <item m="1" x="14"/>
        <item m="1" x="11"/>
        <item m="1" x="9"/>
        <item m="1" x="5"/>
        <item m="1" x="25"/>
        <item m="1" x="22"/>
        <item m="1" x="33"/>
        <item m="1" x="27"/>
        <item m="1" x="24"/>
        <item m="1" x="30"/>
        <item t="default"/>
      </items>
    </pivotField>
    <pivotField dataField="1" showAll="0"/>
    <pivotField showAll="0"/>
  </pivotFields>
  <rowItems count="1">
    <i/>
  </rowItems>
  <colFields count="1">
    <field x="0"/>
  </colFields>
  <colItems count="2">
    <i>
      <x/>
    </i>
    <i t="grand">
      <x/>
    </i>
  </colItems>
  <dataFields count="1">
    <dataField name="Dívida" fld="1" baseField="0" baseItem="0" numFmtId="44"/>
  </dataFields>
  <formats count="1">
    <format dxfId="115">
      <pivotArea outline="0" collapsedLevelsAreSubtotals="1" fieldPosition="0"/>
    </format>
  </formats>
  <chartFormats count="7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2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2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2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2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SaquesDinamica" cacheId="223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3">
  <location ref="AL3:AM5" firstHeaderRow="1" firstDataRow="1" firstDataCol="1"/>
  <pivotFields count="12">
    <pivotField axis="axisRow" showAll="0" nonAutoSortDefault="1">
      <items count="10">
        <item m="1" x="6"/>
        <item m="1" x="7"/>
        <item m="1" x="3"/>
        <item m="1" x="8"/>
        <item m="1" x="1"/>
        <item m="1" x="2"/>
        <item m="1" x="4"/>
        <item m="1" x="5"/>
        <item x="0"/>
        <item t="default"/>
      </items>
    </pivotField>
    <pivotField dataField="1" numFmtId="165" showAll="0"/>
    <pivotField showAll="0"/>
    <pivotField numFmtId="49" showAll="0"/>
    <pivotField showAll="0" defaultSubtotal="0"/>
    <pivotField showAll="0" defaultSubtotal="0"/>
    <pivotField showAll="0"/>
    <pivotField numFmtId="165" showAll="0"/>
    <pivotField numFmtId="165" showAll="0"/>
    <pivotField numFmtId="165" showAll="0"/>
    <pivotField numFmtId="165" showAll="0"/>
    <pivotField numFmtId="165" showAll="0"/>
  </pivotFields>
  <rowFields count="1">
    <field x="0"/>
  </rowFields>
  <rowItems count="2">
    <i>
      <x v="8"/>
    </i>
    <i t="grand">
      <x/>
    </i>
  </rowItems>
  <colItems count="1">
    <i/>
  </colItems>
  <dataFields count="1">
    <dataField name="Soma de Valor" fld="1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arcelamentosDinamica" cacheId="220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8">
  <location ref="AE3:AG5" firstHeaderRow="1" firstDataRow="2" firstDataCol="1"/>
  <pivotFields count="9">
    <pivotField showAll="0"/>
    <pivotField numFmtId="165" showAll="0"/>
    <pivotField axis="axisCol" showAll="0">
      <items count="4">
        <item m="1" x="2"/>
        <item m="1" x="1"/>
        <item x="0"/>
        <item t="default"/>
      </items>
    </pivotField>
    <pivotField showAll="0" defaultSubtotal="0"/>
    <pivotField showAll="0" defaultSubtotal="0"/>
    <pivotField showAll="0"/>
    <pivotField numFmtId="165" showAll="0"/>
    <pivotField dataField="1" numFmtId="165" showAll="0"/>
    <pivotField showAll="0" defaultSubtotal="0"/>
  </pivotFields>
  <rowItems count="1">
    <i/>
  </rowItems>
  <colFields count="1">
    <field x="2"/>
  </colFields>
  <colItems count="2">
    <i>
      <x v="2"/>
    </i>
    <i t="grand">
      <x/>
    </i>
  </colItems>
  <dataFields count="1">
    <dataField name="Soma de Valor Restante" fld="7" baseField="0" baseItem="0" numFmtId="44"/>
  </dataFields>
  <formats count="1">
    <format dxfId="116">
      <pivotArea outline="0" collapsedLevelsAreSubtotals="1" fieldPosition="0"/>
    </format>
  </format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GraficoFinancasDinamica" cacheId="22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5">
  <location ref="B4:I6" firstHeaderRow="1" firstDataRow="2" firstDataCol="1"/>
  <pivotFields count="3">
    <pivotField showAll="0"/>
    <pivotField axis="axisCol" showAll="0">
      <items count="11">
        <item x="0"/>
        <item x="1"/>
        <item x="2"/>
        <item x="3"/>
        <item x="4"/>
        <item m="1" x="9"/>
        <item h="1" x="5"/>
        <item x="6"/>
        <item h="1" x="7"/>
        <item h="1" x="8"/>
        <item t="default"/>
      </items>
    </pivotField>
    <pivotField dataField="1" numFmtId="165" showAll="0"/>
  </pivotFields>
  <rowItems count="1">
    <i/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7"/>
    </i>
    <i t="grand">
      <x/>
    </i>
  </colItems>
  <dataFields count="1">
    <dataField name="Soma de Valores2" fld="2" baseField="0" baseItem="0"/>
  </dataFields>
  <formats count="1">
    <format dxfId="117">
      <pivotArea collapsedLevelsAreSubtotals="1" fieldPosition="0">
        <references count="1">
          <reference field="1" count="0"/>
        </references>
      </pivotArea>
    </format>
  </formats>
  <chartFormats count="1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8" name="ValoresAplicados" displayName="ValoresAplicados" ref="B2:D11" totalsRowShown="0" headerRowBorderDxfId="113" tableBorderDxfId="112" totalsRowBorderDxfId="111">
  <autoFilter ref="B2:D11"/>
  <tableColumns count="3">
    <tableColumn id="1" name="Index" dataDxfId="110"/>
    <tableColumn id="2" name="Valores Totais Aplicados"/>
    <tableColumn id="3" name="Valores" dataDxfId="10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Percentuais" displayName="Percentuais" ref="I2:J8" totalsRowShown="0" headerRowDxfId="108" headerRowBorderDxfId="107" tableBorderDxfId="106" totalsRowBorderDxfId="105">
  <autoFilter ref="I2:J8"/>
  <tableColumns count="2">
    <tableColumn id="1" name="Procentagens da receita"/>
    <tableColumn id="2" name="Percentuais" dataDxfId="104" dataCellStyle="Porcentagem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Saldos" displayName="Saldos" ref="F11:G17" totalsRowShown="0" headerRowDxfId="103" dataDxfId="101" headerRowBorderDxfId="102" tableBorderDxfId="100" totalsRowBorderDxfId="99">
  <autoFilter ref="F11:G17"/>
  <tableColumns count="2">
    <tableColumn id="1" name="Tipo" dataDxfId="98"/>
    <tableColumn id="2" name="Saldo" dataDxfId="97">
      <calculatedColumnFormula>D6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Deposito" displayName="Deposito" ref="B7:J8" totalsRowShown="0" headerRowDxfId="96" dataDxfId="94" headerRowBorderDxfId="95" tableBorderDxfId="93" totalsRowBorderDxfId="92">
  <autoFilter ref="B7:J8"/>
  <sortState ref="B8:J33">
    <sortCondition descending="1" ref="B7:B33"/>
  </sortState>
  <tableColumns count="9">
    <tableColumn id="1" name="Data" dataDxfId="30"/>
    <tableColumn id="2" name="Valor" dataDxfId="29" dataCellStyle="Moeda"/>
    <tableColumn id="5" name="Descrição" dataDxfId="28"/>
    <tableColumn id="6" name="Gastos Pessoais" dataDxfId="27" dataCellStyle="Moeda"/>
    <tableColumn id="7" name="Aplicações Financeiras" dataDxfId="26" dataCellStyle="Moeda"/>
    <tableColumn id="8" name="Gastos Circunstanciais" dataDxfId="25" dataCellStyle="Moeda"/>
    <tableColumn id="9" name="Metas" dataDxfId="24" dataCellStyle="Moeda"/>
    <tableColumn id="10" name="Familia" dataDxfId="23" dataCellStyle="Moeda"/>
    <tableColumn id="11" name="Total Investido" dataDxfId="22" dataCellStyle="Mo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Saque" displayName="Saque" ref="B7:M8" totalsRowShown="0" headerRowDxfId="91" dataDxfId="89" headerRowBorderDxfId="90" tableBorderDxfId="88" totalsRowBorderDxfId="87">
  <autoFilter ref="B7:M8">
    <filterColumn colId="3"/>
    <filterColumn colId="4"/>
    <filterColumn colId="5"/>
  </autoFilter>
  <tableColumns count="12">
    <tableColumn id="1" name="Data Saque" dataDxfId="42"/>
    <tableColumn id="2" name="Valor" dataDxfId="41" dataCellStyle="Moeda"/>
    <tableColumn id="3" name="Descrição" dataDxfId="40"/>
    <tableColumn id="10" name="Parcelas Totais" dataDxfId="39"/>
    <tableColumn id="12" name="Tipo" dataDxfId="38"/>
    <tableColumn id="11" name="Banco" dataDxfId="37"/>
    <tableColumn id="4" name="Gastos Pessoais" dataDxfId="36" dataCellStyle="Moeda"/>
    <tableColumn id="5" name="Aplicações Financeiras" dataDxfId="35" dataCellStyle="Moeda"/>
    <tableColumn id="6" name="Gastos Circunstanciais" dataDxfId="34" dataCellStyle="Moeda"/>
    <tableColumn id="7" name="Metas" dataDxfId="33" dataCellStyle="Moeda"/>
    <tableColumn id="8" name="Familia" dataDxfId="32" dataCellStyle="Moeda"/>
    <tableColumn id="9" name="Total Saque" dataDxfId="31" dataCellStyle="Moeda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2" name="Emprestimo" displayName="Emprestimo" ref="B6:R7" totalsRowShown="0" headerRowDxfId="86" dataDxfId="84" headerRowBorderDxfId="85" tableBorderDxfId="83" totalsRowBorderDxfId="82">
  <autoFilter ref="B6:R7">
    <filterColumn colId="0"/>
    <filterColumn colId="1"/>
    <filterColumn colId="5"/>
    <filterColumn colId="6"/>
    <filterColumn colId="7"/>
    <filterColumn colId="15"/>
    <filterColumn colId="16"/>
  </autoFilter>
  <sortState ref="B8:R307">
    <sortCondition descending="1" ref="D6:D317"/>
  </sortState>
  <tableColumns count="17">
    <tableColumn id="1" name="Situação" dataDxfId="62"/>
    <tableColumn id="2" name="Responsável" dataDxfId="61"/>
    <tableColumn id="4" name="Data Emprestimo" dataDxfId="60"/>
    <tableColumn id="5" name="Data Devolução Prevista" dataDxfId="59"/>
    <tableColumn id="7" name="Valor do Emprestimo" dataDxfId="58" dataCellStyle="Moeda"/>
    <tableColumn id="8" name="Parcelas Totais" dataDxfId="57"/>
    <tableColumn id="16" name="Tipo" dataDxfId="56"/>
    <tableColumn id="17" name="Banco" dataDxfId="55"/>
    <tableColumn id="9" name="Descrição" dataDxfId="54"/>
    <tableColumn id="10" name="Gastos Pessoais" dataDxfId="53" dataCellStyle="Moeda"/>
    <tableColumn id="11" name="Aplicações Financeiras" dataDxfId="52" dataCellStyle="Moeda"/>
    <tableColumn id="12" name="Gastos Circunstanciais" dataDxfId="51" dataCellStyle="Moeda"/>
    <tableColumn id="13" name="Metas" dataDxfId="50" dataCellStyle="Moeda"/>
    <tableColumn id="14" name="Familia" dataDxfId="49" dataCellStyle="Moeda"/>
    <tableColumn id="15" name="Total Emprestimo" dataDxfId="48" dataCellStyle="Moeda"/>
    <tableColumn id="3" name="Data Devolução" dataDxfId="47" dataCellStyle="Moeda"/>
    <tableColumn id="6" name="Valor do Pagamento" dataDxfId="46" dataCellStyle="Mo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Devedores" displayName="Devedores" ref="U7:W8" totalsRowShown="0" headerRowDxfId="81" dataDxfId="79" headerRowBorderDxfId="80" tableBorderDxfId="78" totalsRowBorderDxfId="77">
  <autoFilter ref="U7:W8"/>
  <tableColumns count="3">
    <tableColumn id="1" name="Nome" dataDxfId="45"/>
    <tableColumn id="2" name="Divida Ativa" dataDxfId="44" dataCellStyle="Moeda"/>
    <tableColumn id="3" name="Divida Anistiada" dataDxfId="43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" name="Movimentacoes" displayName="Movimentacoes" ref="B8:I9" totalsRowShown="0" headerRowDxfId="76" dataDxfId="74" headerRowBorderDxfId="75" tableBorderDxfId="73" totalsRowBorderDxfId="72">
  <autoFilter ref="B8:I9"/>
  <tableColumns count="8">
    <tableColumn id="1" name="Data" dataDxfId="21"/>
    <tableColumn id="2" name="Valor" dataDxfId="20"/>
    <tableColumn id="3" name="Tipo" dataDxfId="19"/>
    <tableColumn id="6" name="Gastos Pessoais" dataDxfId="18"/>
    <tableColumn id="7" name="Aplicações Financeiras" dataDxfId="17"/>
    <tableColumn id="8" name="Gastos Circunstanciais" dataDxfId="16"/>
    <tableColumn id="9" name="Metas" dataDxfId="15"/>
    <tableColumn id="10" name="Familia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" name="Pagamentos" displayName="Pagamentos" ref="B8:F9" totalsRowShown="0" headerRowDxfId="71" dataDxfId="69" headerRowBorderDxfId="70" tableBorderDxfId="68" totalsRowBorderDxfId="67">
  <autoFilter ref="B8:F9">
    <filterColumn colId="4"/>
  </autoFilter>
  <sortState ref="B9:F102">
    <sortCondition descending="1" ref="B8:B102"/>
  </sortState>
  <tableColumns count="5">
    <tableColumn id="1" name="Data Pagamento" dataDxfId="13"/>
    <tableColumn id="2" name="Valor" dataDxfId="12" dataCellStyle="Moeda"/>
    <tableColumn id="3" name="Descrição" dataDxfId="11"/>
    <tableColumn id="12" name="Tipo" dataDxfId="10"/>
    <tableColumn id="4" name="Devedor" dataDxfId="9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10" name="Parcelamento" displayName="Parcelamento" ref="B5:J6" totalsRowShown="0" headerRowDxfId="66" headerRowBorderDxfId="65" tableBorderDxfId="64" totalsRowBorderDxfId="63">
  <autoFilter ref="B5:J6">
    <filterColumn colId="3"/>
    <filterColumn colId="4"/>
    <filterColumn colId="7"/>
    <filterColumn colId="8"/>
  </autoFilter>
  <sortState ref="B6:J24">
    <sortCondition descending="1" ref="B5:B24"/>
  </sortState>
  <tableColumns count="9">
    <tableColumn id="1" name="Data" dataDxfId="8"/>
    <tableColumn id="2" name="Valor do Parcelamento" dataDxfId="7" dataCellStyle="Moeda"/>
    <tableColumn id="3" name="Tipo" dataDxfId="6"/>
    <tableColumn id="5" name="Banco" dataDxfId="5"/>
    <tableColumn id="6" name="Parcelas Totais" dataDxfId="4"/>
    <tableColumn id="7" name="Parcelas Pagas" dataDxfId="3"/>
    <tableColumn id="8" name="Valor da Parcela" dataDxfId="2" dataCellStyle="Moeda"/>
    <tableColumn id="4" name="Valor Restante" dataDxfId="1" dataCellStyle="Moeda"/>
    <tableColumn id="9" name="Responsáve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4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6"/>
  <dimension ref="A1:AL97"/>
  <sheetViews>
    <sheetView tabSelected="1" topLeftCell="A13" zoomScale="54" zoomScaleNormal="54" workbookViewId="0"/>
  </sheetViews>
  <sheetFormatPr defaultRowHeight="15"/>
  <cols>
    <col min="26" max="26" width="18.140625" bestFit="1" customWidth="1"/>
    <col min="27" max="27" width="20" bestFit="1" customWidth="1"/>
  </cols>
  <sheetData>
    <row r="1" spans="1:38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  <c r="AE1" s="54"/>
      <c r="AF1" s="54"/>
      <c r="AG1" s="54"/>
      <c r="AH1" s="54"/>
      <c r="AI1" s="54"/>
      <c r="AJ1" s="54"/>
      <c r="AK1" s="54"/>
      <c r="AL1" s="54"/>
    </row>
    <row r="2" spans="1:38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</row>
    <row r="3" spans="1:38">
      <c r="A3" s="5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</row>
    <row r="4" spans="1:38">
      <c r="A4" s="54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  <c r="W4" s="54"/>
      <c r="X4" s="54"/>
      <c r="Y4" s="54"/>
      <c r="Z4" s="54"/>
      <c r="AA4" s="54"/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</row>
    <row r="5" spans="1:38">
      <c r="A5" s="54"/>
      <c r="B5" s="54"/>
      <c r="C5" s="54"/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</row>
    <row r="6" spans="1:38">
      <c r="A6" s="5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</row>
    <row r="7" spans="1:38">
      <c r="A7" s="54"/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</row>
    <row r="8" spans="1:38">
      <c r="A8" s="54"/>
      <c r="B8" s="54"/>
      <c r="C8" s="54"/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</row>
    <row r="9" spans="1:38">
      <c r="A9" s="5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</row>
    <row r="10" spans="1:38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</row>
    <row r="11" spans="1:38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</row>
    <row r="12" spans="1:38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</row>
    <row r="13" spans="1:38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</row>
    <row r="14" spans="1:38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60"/>
      <c r="AA14" s="61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</row>
    <row r="15" spans="1:38">
      <c r="A15" s="5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62"/>
      <c r="AA15" s="61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</row>
    <row r="16" spans="1:38">
      <c r="A16" s="54"/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62"/>
      <c r="AA16" s="61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</row>
    <row r="17" spans="1:38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62"/>
      <c r="AA17" s="61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</row>
    <row r="18" spans="1:38">
      <c r="A18" s="54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 t="s">
        <v>32</v>
      </c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</row>
    <row r="19" spans="1:38">
      <c r="A19" s="54"/>
      <c r="B19" s="54"/>
      <c r="C19" s="54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</row>
    <row r="20" spans="1:38">
      <c r="A20" s="54"/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</row>
    <row r="21" spans="1:38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</row>
    <row r="22" spans="1:38">
      <c r="A22" s="54"/>
      <c r="B22" s="54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</row>
    <row r="23" spans="1:38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</row>
    <row r="24" spans="1:38">
      <c r="A24" s="54"/>
      <c r="B24" s="54"/>
      <c r="C24" s="54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</row>
    <row r="25" spans="1:38">
      <c r="A25" s="54"/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</row>
    <row r="26" spans="1:38">
      <c r="A26" s="54"/>
      <c r="B26" s="54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</row>
    <row r="27" spans="1:38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</row>
    <row r="28" spans="1:38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</row>
    <row r="29" spans="1:38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</row>
    <row r="30" spans="1:38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</row>
    <row r="31" spans="1:38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</row>
    <row r="32" spans="1:38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</row>
    <row r="33" spans="1:38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</row>
    <row r="34" spans="1:38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</row>
    <row r="35" spans="1:38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</row>
    <row r="36" spans="1:38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</row>
    <row r="37" spans="1:38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</row>
    <row r="38" spans="1:38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</row>
    <row r="39" spans="1:38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</row>
    <row r="40" spans="1:38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</row>
    <row r="41" spans="1:38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</row>
    <row r="42" spans="1:38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</row>
    <row r="43" spans="1:38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</row>
    <row r="44" spans="1:38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</row>
    <row r="45" spans="1:38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</row>
    <row r="46" spans="1:38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</row>
    <row r="47" spans="1:38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</row>
    <row r="48" spans="1:38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</row>
    <row r="49" spans="1:38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</row>
    <row r="50" spans="1:38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</row>
    <row r="51" spans="1:38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</row>
    <row r="52" spans="1:38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</row>
    <row r="53" spans="1:38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</row>
    <row r="54" spans="1:38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</row>
    <row r="55" spans="1:38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</row>
    <row r="56" spans="1:38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</row>
    <row r="57" spans="1:38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</row>
    <row r="58" spans="1:38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</row>
    <row r="59" spans="1:38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</row>
    <row r="60" spans="1:38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</row>
    <row r="61" spans="1:38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</row>
    <row r="62" spans="1:38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</row>
    <row r="63" spans="1:38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</row>
    <row r="64" spans="1:38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</row>
    <row r="65" spans="1:38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</row>
    <row r="66" spans="1:38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</row>
    <row r="67" spans="1:38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</row>
    <row r="68" spans="1:38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</row>
    <row r="69" spans="1:38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</row>
    <row r="70" spans="1:38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</row>
    <row r="71" spans="1:38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</row>
    <row r="72" spans="1:38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</row>
    <row r="73" spans="1:38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</row>
    <row r="74" spans="1:38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</row>
    <row r="75" spans="1:38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</row>
    <row r="76" spans="1:38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</row>
    <row r="77" spans="1:38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</row>
    <row r="78" spans="1:38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</row>
    <row r="79" spans="1:38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</row>
    <row r="80" spans="1:38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</row>
    <row r="81" spans="1:38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</row>
    <row r="82" spans="1:38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</row>
    <row r="83" spans="1:38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</row>
    <row r="84" spans="1:38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</row>
    <row r="85" spans="1:38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</row>
    <row r="86" spans="1:38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</row>
    <row r="87" spans="1:38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</row>
    <row r="88" spans="1:38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</row>
    <row r="89" spans="1:38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</row>
    <row r="90" spans="1:38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</row>
    <row r="91" spans="1:38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</row>
    <row r="92" spans="1:38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</row>
    <row r="93" spans="1:38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</row>
    <row r="94" spans="1:38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</row>
    <row r="95" spans="1:38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</row>
    <row r="96" spans="1:38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</row>
    <row r="97" spans="1:38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7"/>
  <dimension ref="B1:BA23"/>
  <sheetViews>
    <sheetView zoomScale="70" zoomScaleNormal="70" workbookViewId="0">
      <selection activeCell="AU18" sqref="AU18:AU19"/>
    </sheetView>
  </sheetViews>
  <sheetFormatPr defaultRowHeight="15"/>
  <cols>
    <col min="2" max="2" width="22.42578125" customWidth="1"/>
    <col min="3" max="3" width="25.7109375" bestFit="1" customWidth="1"/>
    <col min="4" max="4" width="28.5703125" customWidth="1"/>
    <col min="5" max="5" width="28.28515625" customWidth="1"/>
    <col min="6" max="7" width="12" customWidth="1"/>
    <col min="8" max="8" width="16" customWidth="1"/>
    <col min="9" max="9" width="13.85546875" customWidth="1"/>
    <col min="17" max="17" width="3.7109375" customWidth="1"/>
    <col min="18" max="18" width="8.42578125" customWidth="1"/>
    <col min="19" max="19" width="8.7109375" customWidth="1"/>
    <col min="20" max="20" width="25.7109375" bestFit="1" customWidth="1"/>
    <col min="21" max="21" width="13.85546875" customWidth="1"/>
    <col min="22" max="22" width="15.85546875" customWidth="1"/>
    <col min="23" max="24" width="18.28515625" bestFit="1" customWidth="1"/>
    <col min="25" max="25" width="16.28515625" bestFit="1" customWidth="1"/>
    <col min="26" max="26" width="20.5703125" bestFit="1" customWidth="1"/>
    <col min="27" max="27" width="18.28515625" bestFit="1" customWidth="1"/>
    <col min="28" max="28" width="19.28515625" customWidth="1"/>
    <col min="29" max="29" width="19.7109375" bestFit="1" customWidth="1"/>
    <col min="30" max="30" width="19.7109375" customWidth="1"/>
    <col min="31" max="31" width="29.28515625" customWidth="1"/>
    <col min="32" max="32" width="25.7109375" bestFit="1" customWidth="1"/>
    <col min="33" max="33" width="13.85546875" customWidth="1"/>
    <col min="34" max="34" width="17.85546875" bestFit="1" customWidth="1"/>
    <col min="35" max="35" width="13.85546875" customWidth="1"/>
    <col min="36" max="36" width="3.42578125" customWidth="1"/>
    <col min="37" max="37" width="10.28515625" bestFit="1" customWidth="1"/>
    <col min="38" max="38" width="24" bestFit="1" customWidth="1"/>
    <col min="39" max="39" width="18.140625" customWidth="1"/>
    <col min="40" max="40" width="10.28515625" customWidth="1"/>
    <col min="41" max="41" width="10.28515625" bestFit="1" customWidth="1"/>
    <col min="44" max="44" width="5.7109375" customWidth="1"/>
    <col min="46" max="46" width="18.85546875" customWidth="1"/>
    <col min="47" max="47" width="25.7109375" customWidth="1"/>
    <col min="48" max="48" width="20.5703125" customWidth="1"/>
    <col min="49" max="49" width="17.28515625" customWidth="1"/>
    <col min="50" max="50" width="19.5703125" customWidth="1"/>
    <col min="51" max="51" width="23.85546875" customWidth="1"/>
    <col min="52" max="52" width="16" customWidth="1"/>
    <col min="53" max="53" width="13.85546875" customWidth="1"/>
    <col min="54" max="54" width="13.85546875" bestFit="1" customWidth="1"/>
  </cols>
  <sheetData>
    <row r="1" spans="2:53">
      <c r="Q1" s="54"/>
      <c r="AC1" s="54"/>
      <c r="AJ1" s="54"/>
      <c r="AR1" s="54"/>
    </row>
    <row r="2" spans="2:53">
      <c r="Q2" s="54"/>
      <c r="AC2" s="54"/>
      <c r="AJ2" s="54"/>
      <c r="AR2" s="54"/>
    </row>
    <row r="3" spans="2:53">
      <c r="Q3" s="54"/>
      <c r="T3" s="53" t="s">
        <v>55</v>
      </c>
      <c r="AF3" s="53" t="s">
        <v>55</v>
      </c>
      <c r="AJ3" s="54"/>
      <c r="AL3" s="53" t="s">
        <v>58</v>
      </c>
      <c r="AM3" t="s">
        <v>59</v>
      </c>
      <c r="AR3" s="54"/>
      <c r="AU3" s="53" t="s">
        <v>55</v>
      </c>
    </row>
    <row r="4" spans="2:53">
      <c r="C4" s="53" t="s">
        <v>55</v>
      </c>
      <c r="J4" s="36"/>
      <c r="K4" s="36"/>
      <c r="L4" s="36"/>
      <c r="Q4" s="54"/>
      <c r="T4" t="s">
        <v>27</v>
      </c>
      <c r="U4" t="s">
        <v>54</v>
      </c>
      <c r="AF4" t="s">
        <v>27</v>
      </c>
      <c r="AG4" t="s">
        <v>54</v>
      </c>
      <c r="AJ4" s="54"/>
      <c r="AL4" s="39" t="s">
        <v>27</v>
      </c>
      <c r="AM4" s="40">
        <v>0</v>
      </c>
      <c r="AR4" s="54"/>
      <c r="AU4" t="s">
        <v>60</v>
      </c>
      <c r="AV4" t="s">
        <v>62</v>
      </c>
      <c r="AW4" t="s">
        <v>61</v>
      </c>
      <c r="AX4" t="s">
        <v>69</v>
      </c>
      <c r="AY4" t="s">
        <v>72</v>
      </c>
      <c r="AZ4" t="s">
        <v>71</v>
      </c>
      <c r="BA4" t="s">
        <v>54</v>
      </c>
    </row>
    <row r="5" spans="2:5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71</v>
      </c>
      <c r="I5" t="s">
        <v>54</v>
      </c>
      <c r="J5" s="36"/>
      <c r="K5" s="36"/>
      <c r="L5" s="36"/>
      <c r="Q5" s="54"/>
      <c r="S5" t="s">
        <v>56</v>
      </c>
      <c r="T5" s="1">
        <v>0</v>
      </c>
      <c r="U5" s="1">
        <v>0</v>
      </c>
      <c r="AE5" t="s">
        <v>57</v>
      </c>
      <c r="AF5" s="1">
        <v>0</v>
      </c>
      <c r="AG5" s="1">
        <v>0</v>
      </c>
      <c r="AJ5" s="54"/>
      <c r="AL5" s="39" t="s">
        <v>54</v>
      </c>
      <c r="AM5" s="40">
        <v>0</v>
      </c>
      <c r="AR5" s="54"/>
      <c r="AT5" t="s">
        <v>64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</row>
    <row r="6" spans="2:53">
      <c r="B6" t="s">
        <v>65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40">
        <v>0</v>
      </c>
      <c r="J6" s="36"/>
      <c r="K6" s="36"/>
      <c r="L6" s="36"/>
      <c r="Q6" s="54"/>
      <c r="W6" s="39"/>
      <c r="X6" s="40"/>
      <c r="AC6" s="54"/>
      <c r="AJ6" s="54"/>
      <c r="AR6" s="54"/>
    </row>
    <row r="7" spans="2:53">
      <c r="E7" s="36"/>
      <c r="F7" s="36"/>
      <c r="G7" s="36"/>
      <c r="H7" s="36"/>
      <c r="I7" s="36"/>
      <c r="J7" s="36"/>
      <c r="K7" s="36"/>
      <c r="L7" s="36"/>
      <c r="Q7" s="54"/>
      <c r="W7" s="39"/>
      <c r="X7" s="40"/>
      <c r="AC7" s="54"/>
      <c r="AJ7" s="54"/>
      <c r="AR7" s="54"/>
    </row>
    <row r="8" spans="2:53">
      <c r="E8" s="36"/>
      <c r="F8" s="36"/>
      <c r="G8" s="36"/>
      <c r="H8" s="36"/>
      <c r="I8" s="36"/>
      <c r="J8" s="36"/>
      <c r="K8" s="36"/>
      <c r="L8" s="36"/>
      <c r="Q8" s="54"/>
      <c r="AC8" s="54"/>
      <c r="AJ8" s="54"/>
      <c r="AR8" s="54"/>
    </row>
    <row r="9" spans="2:53">
      <c r="E9" s="36"/>
      <c r="F9" s="36"/>
      <c r="G9" s="36"/>
      <c r="H9" s="36"/>
      <c r="I9" s="36"/>
      <c r="J9" s="36"/>
      <c r="K9" s="36"/>
      <c r="L9" s="36"/>
      <c r="Q9" s="54"/>
      <c r="AC9" s="54"/>
      <c r="AJ9" s="54"/>
      <c r="AR9" s="54"/>
    </row>
    <row r="10" spans="2:53">
      <c r="E10" s="36"/>
      <c r="F10" s="36"/>
      <c r="G10" s="36"/>
      <c r="H10" s="36"/>
      <c r="I10" s="36"/>
      <c r="J10" s="36"/>
      <c r="K10" s="36"/>
      <c r="L10" s="36"/>
      <c r="Q10" s="54"/>
      <c r="AC10" s="54"/>
      <c r="AJ10" s="54"/>
      <c r="AR10" s="54"/>
    </row>
    <row r="11" spans="2:53">
      <c r="E11" s="36"/>
      <c r="F11" s="36"/>
      <c r="G11" s="36"/>
      <c r="H11" s="36"/>
      <c r="I11" s="36"/>
      <c r="J11" s="36"/>
      <c r="K11" s="36"/>
      <c r="L11" s="36"/>
      <c r="Q11" s="54"/>
      <c r="AC11" s="54"/>
      <c r="AJ11" s="54"/>
      <c r="AR11" s="54"/>
    </row>
    <row r="12" spans="2:53">
      <c r="E12" s="36"/>
      <c r="F12" s="36"/>
      <c r="G12" s="36"/>
      <c r="H12" s="36"/>
      <c r="I12" s="36"/>
      <c r="J12" s="36"/>
      <c r="K12" s="36"/>
      <c r="L12" s="36"/>
      <c r="Q12" s="54"/>
      <c r="AC12" s="54"/>
      <c r="AJ12" s="54"/>
      <c r="AR12" s="54"/>
    </row>
    <row r="13" spans="2:53">
      <c r="E13" s="36"/>
      <c r="F13" s="36"/>
      <c r="G13" s="36"/>
      <c r="H13" s="36"/>
      <c r="I13" s="36"/>
      <c r="J13" s="36"/>
      <c r="K13" s="36"/>
      <c r="L13" s="36"/>
      <c r="Q13" s="54"/>
      <c r="AC13" s="54"/>
      <c r="AJ13" s="54"/>
      <c r="AR13" s="54"/>
    </row>
    <row r="14" spans="2:53">
      <c r="E14" s="36"/>
      <c r="F14" s="36"/>
      <c r="G14" s="36"/>
      <c r="H14" s="36"/>
      <c r="I14" s="36"/>
      <c r="J14" s="36"/>
      <c r="K14" s="36"/>
      <c r="L14" s="36"/>
      <c r="Q14" s="54"/>
      <c r="AC14" s="54"/>
      <c r="AJ14" s="54"/>
      <c r="AR14" s="54"/>
    </row>
    <row r="15" spans="2:53">
      <c r="E15" s="36"/>
      <c r="F15" s="36"/>
      <c r="G15" s="36"/>
      <c r="H15" s="36"/>
      <c r="I15" s="36"/>
      <c r="J15" s="36"/>
      <c r="K15" s="36"/>
      <c r="L15" s="36"/>
      <c r="Q15" s="54"/>
      <c r="AC15" s="54"/>
      <c r="AJ15" s="54"/>
      <c r="AR15" s="54"/>
    </row>
    <row r="16" spans="2:53">
      <c r="E16" s="36"/>
      <c r="F16" s="36"/>
      <c r="G16" s="36"/>
      <c r="H16" s="36"/>
      <c r="I16" s="36"/>
      <c r="J16" s="36"/>
      <c r="K16" s="36"/>
      <c r="L16" s="36"/>
      <c r="Q16" s="54"/>
      <c r="AC16" s="54"/>
      <c r="AJ16" s="54"/>
      <c r="AR16" s="54"/>
    </row>
    <row r="17" spans="5:44">
      <c r="E17" s="36"/>
      <c r="F17" s="36"/>
      <c r="G17" s="36"/>
      <c r="H17" s="36"/>
      <c r="I17" s="36"/>
      <c r="J17" s="36"/>
      <c r="K17" s="36"/>
      <c r="L17" s="36"/>
      <c r="Q17" s="54"/>
      <c r="AC17" s="54"/>
      <c r="AJ17" s="54"/>
      <c r="AR17" s="54"/>
    </row>
    <row r="18" spans="5:44">
      <c r="E18" s="36"/>
      <c r="F18" s="36"/>
      <c r="G18" s="36"/>
      <c r="H18" s="36"/>
      <c r="I18" s="36"/>
      <c r="J18" s="36"/>
      <c r="K18" s="36"/>
      <c r="L18" s="36"/>
      <c r="Q18" s="54"/>
      <c r="AC18" s="54"/>
      <c r="AJ18" s="54"/>
      <c r="AR18" s="54"/>
    </row>
    <row r="19" spans="5:44">
      <c r="E19" s="36"/>
      <c r="F19" s="36"/>
      <c r="G19" s="36"/>
      <c r="H19" s="36"/>
      <c r="I19" s="36"/>
      <c r="J19" s="36"/>
      <c r="K19" s="36"/>
      <c r="L19" s="36"/>
      <c r="Q19" s="54"/>
      <c r="AC19" s="54"/>
      <c r="AJ19" s="54"/>
      <c r="AR19" s="54"/>
    </row>
    <row r="20" spans="5:44">
      <c r="E20" s="36"/>
      <c r="F20" s="36"/>
      <c r="G20" s="36"/>
      <c r="H20" s="36"/>
      <c r="I20" s="36"/>
      <c r="J20" s="36"/>
      <c r="K20" s="36"/>
      <c r="L20" s="36"/>
      <c r="Q20" s="54"/>
      <c r="AC20" s="54"/>
      <c r="AJ20" s="54"/>
      <c r="AR20" s="54"/>
    </row>
    <row r="21" spans="5:44">
      <c r="E21" s="36"/>
      <c r="F21" s="36"/>
      <c r="G21" s="36"/>
      <c r="H21" s="36"/>
      <c r="I21" s="36"/>
      <c r="J21" s="36"/>
      <c r="K21" s="36"/>
      <c r="L21" s="36"/>
      <c r="Q21" s="54"/>
      <c r="AC21" s="54"/>
      <c r="AJ21" s="54"/>
      <c r="AR21" s="54"/>
    </row>
    <row r="22" spans="5:44">
      <c r="Q22" s="54"/>
      <c r="AC22" s="54"/>
      <c r="AJ22" s="54"/>
      <c r="AR22" s="54"/>
    </row>
    <row r="23" spans="5:44">
      <c r="Q23" s="54"/>
      <c r="AC23" s="54"/>
      <c r="AJ23" s="54"/>
      <c r="AR23" s="54"/>
    </row>
  </sheetData>
  <sheetProtection sheet="1" objects="1" scenarios="1" sort="0" autoFilter="0"/>
  <pageMargins left="0.511811024" right="0.511811024" top="0.78740157499999996" bottom="0.78740157499999996" header="0.31496062000000002" footer="0.31496062000000002"/>
  <pageSetup paperSize="9" orientation="portrait" r:id="rId6"/>
  <drawing r:id="rId7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8"/>
  <dimension ref="B2:N21"/>
  <sheetViews>
    <sheetView workbookViewId="0">
      <selection activeCell="J9" sqref="J9"/>
    </sheetView>
  </sheetViews>
  <sheetFormatPr defaultRowHeight="15"/>
  <cols>
    <col min="2" max="2" width="10.5703125" bestFit="1" customWidth="1"/>
    <col min="3" max="3" width="27.42578125" bestFit="1" customWidth="1"/>
    <col min="4" max="4" width="12.28515625" bestFit="1" customWidth="1"/>
    <col min="5" max="5" width="15.140625" bestFit="1" customWidth="1"/>
    <col min="6" max="6" width="24.28515625" bestFit="1" customWidth="1"/>
    <col min="7" max="7" width="10.42578125" bestFit="1" customWidth="1"/>
    <col min="9" max="9" width="27.140625" bestFit="1" customWidth="1"/>
    <col min="10" max="10" width="16" bestFit="1" customWidth="1"/>
    <col min="11" max="11" width="10.85546875" bestFit="1" customWidth="1"/>
    <col min="12" max="12" width="7.42578125" bestFit="1" customWidth="1"/>
    <col min="13" max="13" width="26.42578125" bestFit="1" customWidth="1"/>
    <col min="14" max="14" width="2" bestFit="1" customWidth="1"/>
  </cols>
  <sheetData>
    <row r="2" spans="2:14" ht="18.75">
      <c r="B2" s="21" t="s">
        <v>31</v>
      </c>
      <c r="C2" s="21" t="s">
        <v>26</v>
      </c>
      <c r="D2" s="21" t="s">
        <v>38</v>
      </c>
      <c r="F2" s="31" t="s">
        <v>7</v>
      </c>
      <c r="G2" s="31"/>
      <c r="I2" s="21" t="s">
        <v>6</v>
      </c>
      <c r="J2" s="21" t="s">
        <v>53</v>
      </c>
      <c r="L2" s="35" t="s">
        <v>31</v>
      </c>
      <c r="M2" s="120" t="s">
        <v>36</v>
      </c>
      <c r="N2" s="120"/>
    </row>
    <row r="3" spans="2:14" ht="18.75">
      <c r="B3" s="22">
        <v>0</v>
      </c>
      <c r="C3" s="23" t="s">
        <v>0</v>
      </c>
      <c r="D3" s="43">
        <f>ROUNDDOWN(SUM(Deposito!E6-Saque!H6-Emprestimo!K5+Movimentações!E7),2)</f>
        <v>0</v>
      </c>
      <c r="F3" s="23" t="s">
        <v>0</v>
      </c>
      <c r="G3" s="29" t="e">
        <f>G9*#REF!</f>
        <v>#REF!</v>
      </c>
      <c r="I3" s="16" t="s">
        <v>0</v>
      </c>
      <c r="J3" s="72">
        <v>0</v>
      </c>
      <c r="L3" s="12">
        <v>0</v>
      </c>
      <c r="M3" s="2" t="s">
        <v>0</v>
      </c>
      <c r="N3" s="10">
        <v>1</v>
      </c>
    </row>
    <row r="4" spans="2:14" ht="18.75">
      <c r="B4" s="22">
        <v>1</v>
      </c>
      <c r="C4" s="24" t="s">
        <v>1</v>
      </c>
      <c r="D4" s="43">
        <f>ROUNDDOWN(SUM(Deposito!F6-Saque!I6-Emprestimo!L5+Movimentações!F7),2)</f>
        <v>0</v>
      </c>
      <c r="F4" s="24" t="s">
        <v>1</v>
      </c>
      <c r="G4" s="29" t="e">
        <f>G9*#REF!</f>
        <v>#REF!</v>
      </c>
      <c r="I4" s="17" t="s">
        <v>1</v>
      </c>
      <c r="J4" s="72">
        <v>0</v>
      </c>
      <c r="L4" s="12">
        <v>1</v>
      </c>
      <c r="M4" s="3" t="s">
        <v>1</v>
      </c>
      <c r="N4" s="10">
        <v>5</v>
      </c>
    </row>
    <row r="5" spans="2:14" ht="18.75">
      <c r="B5" s="22">
        <v>0</v>
      </c>
      <c r="C5" s="25" t="s">
        <v>2</v>
      </c>
      <c r="D5" s="43">
        <f>ROUNDDOWN(SUM(Deposito!G6-Saque!J6-Emprestimo!M5+Movimentações!G7),2)</f>
        <v>0</v>
      </c>
      <c r="F5" s="25" t="s">
        <v>2</v>
      </c>
      <c r="G5" s="29">
        <f>G9*K1</f>
        <v>0</v>
      </c>
      <c r="I5" s="18" t="s">
        <v>2</v>
      </c>
      <c r="J5" s="72">
        <v>0</v>
      </c>
      <c r="L5" s="12">
        <v>2</v>
      </c>
      <c r="M5" s="4" t="s">
        <v>2</v>
      </c>
      <c r="N5" s="10">
        <v>2</v>
      </c>
    </row>
    <row r="6" spans="2:14" ht="18.75">
      <c r="B6" s="22">
        <v>3</v>
      </c>
      <c r="C6" s="26" t="s">
        <v>3</v>
      </c>
      <c r="D6" s="43">
        <f>ROUNDDOWN(SUM(Deposito!H6-Saque!K6-Emprestimo!N5+Movimentações!H7),2)</f>
        <v>0</v>
      </c>
      <c r="F6" s="26" t="s">
        <v>3</v>
      </c>
      <c r="G6" s="29" t="e">
        <f>G9*#REF!</f>
        <v>#REF!</v>
      </c>
      <c r="I6" s="19" t="s">
        <v>3</v>
      </c>
      <c r="J6" s="72">
        <v>0</v>
      </c>
      <c r="L6" s="12">
        <v>3</v>
      </c>
      <c r="M6" s="5" t="s">
        <v>3</v>
      </c>
      <c r="N6" s="10">
        <v>4</v>
      </c>
    </row>
    <row r="7" spans="2:14" ht="18.75">
      <c r="B7" s="34">
        <v>4</v>
      </c>
      <c r="C7" s="27" t="s">
        <v>4</v>
      </c>
      <c r="D7" s="43">
        <f>ROUNDDOWN(SUM(Deposito!I6-Saque!L6-Emprestimo!O5+Movimentações!I7),2)</f>
        <v>0</v>
      </c>
      <c r="F7" s="27" t="s">
        <v>4</v>
      </c>
      <c r="G7" s="29">
        <f>G9*K3</f>
        <v>0</v>
      </c>
      <c r="I7" s="20" t="s">
        <v>4</v>
      </c>
      <c r="J7" s="72">
        <v>0</v>
      </c>
      <c r="L7" s="12">
        <v>4</v>
      </c>
      <c r="M7" s="6" t="s">
        <v>4</v>
      </c>
      <c r="N7" s="10">
        <v>3</v>
      </c>
    </row>
    <row r="8" spans="2:14">
      <c r="B8" s="32"/>
      <c r="C8" s="33" t="s">
        <v>9</v>
      </c>
      <c r="D8" s="43">
        <f>ROUNDDOWN(SUM(D3:D7),2)</f>
        <v>0</v>
      </c>
      <c r="F8" s="28" t="s">
        <v>5</v>
      </c>
      <c r="G8" s="30" t="e">
        <f>SUM(#REF!-I14-K26)</f>
        <v>#REF!</v>
      </c>
      <c r="I8" s="46" t="s">
        <v>9</v>
      </c>
      <c r="J8" s="72">
        <f>SUM(J3:J7)</f>
        <v>0</v>
      </c>
    </row>
    <row r="9" spans="2:14">
      <c r="B9" s="44"/>
      <c r="C9" s="65" t="s">
        <v>71</v>
      </c>
      <c r="D9" s="45">
        <v>0</v>
      </c>
    </row>
    <row r="10" spans="2:14" ht="18.75">
      <c r="B10" s="63"/>
      <c r="C10" s="67" t="s">
        <v>69</v>
      </c>
      <c r="D10" s="45">
        <v>0</v>
      </c>
      <c r="L10" s="35" t="s">
        <v>31</v>
      </c>
      <c r="M10" s="120" t="s">
        <v>37</v>
      </c>
      <c r="N10" s="120"/>
    </row>
    <row r="11" spans="2:14" ht="18.75">
      <c r="B11" s="63"/>
      <c r="C11" s="66" t="s">
        <v>70</v>
      </c>
      <c r="D11" s="64">
        <v>0</v>
      </c>
      <c r="F11" s="21" t="s">
        <v>13</v>
      </c>
      <c r="G11" s="21" t="s">
        <v>63</v>
      </c>
      <c r="I11" s="28" t="s">
        <v>73</v>
      </c>
      <c r="J11" s="69"/>
      <c r="L11" s="12">
        <v>0</v>
      </c>
      <c r="M11" s="2" t="s">
        <v>0</v>
      </c>
      <c r="N11" s="10">
        <v>2</v>
      </c>
    </row>
    <row r="12" spans="2:14" ht="18.75">
      <c r="F12" s="56" t="s">
        <v>60</v>
      </c>
      <c r="G12" s="59">
        <f>ROUNDDOWN(D8+D9 + SUM(Parcelamento[Valor Restante]) - SUM(Parcelamento[Valor da Parcela]),2)</f>
        <v>0</v>
      </c>
      <c r="I12" s="28" t="s">
        <v>74</v>
      </c>
      <c r="J12" s="69"/>
      <c r="L12" s="12">
        <v>1</v>
      </c>
      <c r="M12" s="3" t="s">
        <v>1</v>
      </c>
      <c r="N12" s="10">
        <v>5</v>
      </c>
    </row>
    <row r="13" spans="2:14" ht="18.75">
      <c r="D13" s="70"/>
      <c r="F13" s="56" t="s">
        <v>61</v>
      </c>
      <c r="G13" s="59">
        <f>ROUNDDOWN(D8,2)</f>
        <v>0</v>
      </c>
      <c r="I13" s="68"/>
      <c r="L13" s="12">
        <v>2</v>
      </c>
      <c r="M13" s="4" t="s">
        <v>2</v>
      </c>
      <c r="N13" s="10">
        <v>1</v>
      </c>
    </row>
    <row r="14" spans="2:14" ht="18.75">
      <c r="F14" s="56" t="s">
        <v>62</v>
      </c>
      <c r="G14" s="59">
        <f>ROUNDDOWN(G13+SUM(Devedores[Divida Ativa]),2)</f>
        <v>0</v>
      </c>
      <c r="L14" s="12">
        <v>3</v>
      </c>
      <c r="M14" s="5" t="s">
        <v>3</v>
      </c>
      <c r="N14" s="10">
        <v>4</v>
      </c>
    </row>
    <row r="15" spans="2:14" ht="18.75">
      <c r="D15" s="71"/>
      <c r="F15" s="57" t="s">
        <v>71</v>
      </c>
      <c r="G15" s="58">
        <f>ROUNDDOWN(D9,2)</f>
        <v>0</v>
      </c>
      <c r="L15" s="12">
        <v>4</v>
      </c>
      <c r="M15" s="6" t="s">
        <v>4</v>
      </c>
      <c r="N15" s="10">
        <v>3</v>
      </c>
    </row>
    <row r="16" spans="2:14">
      <c r="D16" s="71"/>
      <c r="F16" s="57" t="s">
        <v>69</v>
      </c>
      <c r="G16" s="58">
        <f>ROUNDDOWN(D10,2)</f>
        <v>0</v>
      </c>
    </row>
    <row r="17" spans="4:7">
      <c r="D17" s="71"/>
      <c r="F17" s="57" t="s">
        <v>72</v>
      </c>
      <c r="G17" s="58">
        <f>ROUNDDOWN(D11,2)</f>
        <v>0</v>
      </c>
    </row>
    <row r="18" spans="4:7">
      <c r="D18" s="71"/>
      <c r="E18" s="55"/>
    </row>
    <row r="19" spans="4:7">
      <c r="D19" s="71"/>
      <c r="E19" s="55"/>
    </row>
    <row r="20" spans="4:7">
      <c r="D20" s="71"/>
    </row>
    <row r="21" spans="4:7">
      <c r="D21" s="71"/>
    </row>
  </sheetData>
  <sheetProtection sheet="1" objects="1" scenarios="1" sort="0" autoFilter="0"/>
  <mergeCells count="2">
    <mergeCell ref="M2:N2"/>
    <mergeCell ref="M10:N10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3"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1"/>
  <dimension ref="B2:N20"/>
  <sheetViews>
    <sheetView zoomScale="70" zoomScaleNormal="70" workbookViewId="0">
      <selection activeCell="D12" sqref="D12"/>
    </sheetView>
  </sheetViews>
  <sheetFormatPr defaultRowHeight="15"/>
  <cols>
    <col min="2" max="2" width="15.85546875" bestFit="1" customWidth="1"/>
    <col min="3" max="3" width="19.28515625" bestFit="1" customWidth="1"/>
    <col min="4" max="4" width="24" bestFit="1" customWidth="1"/>
    <col min="5" max="5" width="34.42578125" bestFit="1" customWidth="1"/>
    <col min="6" max="6" width="45.7109375" bestFit="1" customWidth="1"/>
    <col min="7" max="7" width="45.28515625" bestFit="1" customWidth="1"/>
    <col min="8" max="8" width="18.7109375" bestFit="1" customWidth="1"/>
    <col min="9" max="9" width="20" bestFit="1" customWidth="1"/>
    <col min="10" max="10" width="32.85546875" bestFit="1" customWidth="1"/>
    <col min="13" max="13" width="28.140625" bestFit="1" customWidth="1"/>
    <col min="14" max="14" width="12.28515625" customWidth="1"/>
  </cols>
  <sheetData>
    <row r="2" spans="2:10" ht="26.25">
      <c r="B2" s="123" t="s">
        <v>14</v>
      </c>
      <c r="C2" s="124"/>
      <c r="D2" s="124"/>
      <c r="E2" s="124"/>
      <c r="F2" s="124"/>
      <c r="G2" s="124"/>
      <c r="H2" s="124"/>
      <c r="I2" s="124"/>
      <c r="J2" s="125"/>
    </row>
    <row r="3" spans="2:10" ht="23.25">
      <c r="B3" s="126" t="s">
        <v>28</v>
      </c>
      <c r="C3" s="127"/>
      <c r="D3" s="127"/>
      <c r="E3" s="127"/>
      <c r="F3" s="127"/>
      <c r="G3" s="127"/>
      <c r="H3" s="127"/>
      <c r="I3" s="127"/>
      <c r="J3" s="128"/>
    </row>
    <row r="4" spans="2:10" ht="21">
      <c r="B4" s="42" t="s">
        <v>39</v>
      </c>
      <c r="C4" s="42" t="s">
        <v>40</v>
      </c>
      <c r="D4" s="129"/>
      <c r="E4" s="121" t="s">
        <v>29</v>
      </c>
      <c r="F4" s="122"/>
      <c r="G4" s="122"/>
      <c r="H4" s="122"/>
      <c r="I4" s="122"/>
      <c r="J4" s="122"/>
    </row>
    <row r="5" spans="2:10" ht="21" customHeight="1">
      <c r="B5" s="37">
        <f ca="1">C5</f>
        <v>44968</v>
      </c>
      <c r="C5" s="38">
        <f ca="1">TODAY()</f>
        <v>44968</v>
      </c>
      <c r="D5" s="130"/>
      <c r="E5" s="2" t="s">
        <v>0</v>
      </c>
      <c r="F5" s="3" t="s">
        <v>1</v>
      </c>
      <c r="G5" s="4" t="s">
        <v>2</v>
      </c>
      <c r="H5" s="5" t="s">
        <v>3</v>
      </c>
      <c r="I5" s="6" t="s">
        <v>4</v>
      </c>
      <c r="J5" s="7" t="s">
        <v>10</v>
      </c>
    </row>
    <row r="6" spans="2:10" ht="21" customHeight="1">
      <c r="B6" s="131"/>
      <c r="C6" s="132"/>
      <c r="D6" s="133"/>
      <c r="E6" s="8">
        <f>SUM(Deposito[Gastos Pessoais])</f>
        <v>0</v>
      </c>
      <c r="F6" s="8">
        <f>SUM(Deposito[Aplicações Financeiras])</f>
        <v>0</v>
      </c>
      <c r="G6" s="8">
        <f>SUM(Deposito[Gastos Circunstanciais])</f>
        <v>0</v>
      </c>
      <c r="H6" s="8">
        <f>SUM(Deposito[Metas])</f>
        <v>0</v>
      </c>
      <c r="I6" s="8">
        <f>SUM(Deposito[Familia])</f>
        <v>0</v>
      </c>
      <c r="J6" s="8">
        <f>SUM(E6:I6)</f>
        <v>0</v>
      </c>
    </row>
    <row r="7" spans="2:10" ht="26.25">
      <c r="B7" s="73" t="s">
        <v>8</v>
      </c>
      <c r="C7" s="74" t="s">
        <v>11</v>
      </c>
      <c r="D7" s="75" t="s">
        <v>12</v>
      </c>
      <c r="E7" s="76" t="s">
        <v>0</v>
      </c>
      <c r="F7" s="77" t="s">
        <v>1</v>
      </c>
      <c r="G7" s="78" t="s">
        <v>2</v>
      </c>
      <c r="H7" s="79" t="s">
        <v>3</v>
      </c>
      <c r="I7" s="80" t="s">
        <v>4</v>
      </c>
      <c r="J7" s="81" t="s">
        <v>10</v>
      </c>
    </row>
    <row r="8" spans="2:10" ht="26.25">
      <c r="B8" s="107" t="s">
        <v>27</v>
      </c>
      <c r="C8" s="106" t="s">
        <v>27</v>
      </c>
      <c r="D8" s="109" t="s">
        <v>27</v>
      </c>
      <c r="E8" s="106" t="s">
        <v>27</v>
      </c>
      <c r="F8" s="106" t="s">
        <v>27</v>
      </c>
      <c r="G8" s="106" t="s">
        <v>27</v>
      </c>
      <c r="H8" s="106" t="s">
        <v>27</v>
      </c>
      <c r="I8" s="106" t="s">
        <v>27</v>
      </c>
      <c r="J8" s="106" t="s">
        <v>27</v>
      </c>
    </row>
    <row r="20" spans="13:14">
      <c r="M20" s="36"/>
      <c r="N20" s="36"/>
    </row>
  </sheetData>
  <sheetProtection sheet="1" objects="1" scenarios="1" sort="0" autoFilter="0"/>
  <mergeCells count="5">
    <mergeCell ref="E4:J4"/>
    <mergeCell ref="B2:J2"/>
    <mergeCell ref="B3:J3"/>
    <mergeCell ref="D4:D5"/>
    <mergeCell ref="B6:D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3"/>
  <dimension ref="B2:R9"/>
  <sheetViews>
    <sheetView zoomScale="70" zoomScaleNormal="70" workbookViewId="0">
      <selection activeCell="I15" sqref="I15"/>
    </sheetView>
  </sheetViews>
  <sheetFormatPr defaultRowHeight="15"/>
  <cols>
    <col min="1" max="1" width="8.7109375" customWidth="1"/>
    <col min="2" max="2" width="26.7109375" bestFit="1" customWidth="1"/>
    <col min="3" max="3" width="16.85546875" bestFit="1" customWidth="1"/>
    <col min="4" max="4" width="24.28515625" bestFit="1" customWidth="1"/>
    <col min="5" max="5" width="32.85546875" bestFit="1" customWidth="1"/>
    <col min="6" max="6" width="15.28515625" bestFit="1" customWidth="1"/>
    <col min="7" max="7" width="18.140625" bestFit="1" customWidth="1"/>
    <col min="8" max="8" width="34.5703125" bestFit="1" customWidth="1"/>
    <col min="9" max="9" width="45.85546875" bestFit="1" customWidth="1"/>
    <col min="10" max="10" width="45.42578125" bestFit="1" customWidth="1"/>
    <col min="11" max="11" width="18.7109375" bestFit="1" customWidth="1"/>
    <col min="12" max="12" width="20" bestFit="1" customWidth="1"/>
    <col min="13" max="13" width="27.28515625" bestFit="1" customWidth="1"/>
    <col min="16" max="16" width="6.28515625" bestFit="1" customWidth="1"/>
    <col min="18" max="18" width="24.5703125" bestFit="1" customWidth="1"/>
  </cols>
  <sheetData>
    <row r="2" spans="2:18" ht="31.5">
      <c r="B2" s="137" t="s">
        <v>14</v>
      </c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6"/>
      <c r="P2" s="138" t="s">
        <v>30</v>
      </c>
      <c r="Q2" s="138"/>
      <c r="R2" s="138"/>
    </row>
    <row r="3" spans="2:18" ht="23.25">
      <c r="B3" s="127" t="s">
        <v>23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P3" s="9" t="s">
        <v>11</v>
      </c>
      <c r="Q3" s="139">
        <v>0</v>
      </c>
      <c r="R3" s="140"/>
    </row>
    <row r="4" spans="2:18" ht="21">
      <c r="B4" s="42" t="s">
        <v>39</v>
      </c>
      <c r="C4" s="42" t="s">
        <v>40</v>
      </c>
      <c r="D4" s="47"/>
      <c r="E4" s="47"/>
      <c r="F4" s="47"/>
      <c r="G4" s="47"/>
      <c r="H4" s="134" t="s">
        <v>19</v>
      </c>
      <c r="I4" s="135"/>
      <c r="J4" s="135"/>
      <c r="K4" s="135"/>
      <c r="L4" s="135"/>
      <c r="M4" s="136"/>
    </row>
    <row r="5" spans="2:18" ht="21" customHeight="1">
      <c r="B5" s="37">
        <f ca="1">C5</f>
        <v>44968</v>
      </c>
      <c r="C5" s="38">
        <f ca="1">TODAY()</f>
        <v>44968</v>
      </c>
      <c r="D5" s="48"/>
      <c r="E5" s="48"/>
      <c r="F5" s="48"/>
      <c r="G5" s="48"/>
      <c r="H5" s="2" t="s">
        <v>0</v>
      </c>
      <c r="I5" s="3" t="s">
        <v>1</v>
      </c>
      <c r="J5" s="4" t="s">
        <v>2</v>
      </c>
      <c r="K5" s="5" t="s">
        <v>3</v>
      </c>
      <c r="L5" s="6" t="s">
        <v>4</v>
      </c>
      <c r="M5" s="7" t="s">
        <v>25</v>
      </c>
    </row>
    <row r="6" spans="2:18" ht="21" customHeight="1">
      <c r="B6" s="48"/>
      <c r="C6" s="48"/>
      <c r="D6" s="48"/>
      <c r="E6" s="48"/>
      <c r="F6" s="48"/>
      <c r="G6" s="48"/>
      <c r="H6" s="11">
        <f>SUM(Saque[Gastos Pessoais])</f>
        <v>0</v>
      </c>
      <c r="I6" s="11">
        <f>SUM(Saque[Aplicações Financeiras])</f>
        <v>0</v>
      </c>
      <c r="J6" s="11">
        <f>SUM(Saque[Gastos Circunstanciais])</f>
        <v>0</v>
      </c>
      <c r="K6" s="11">
        <f>SUM(Saque[Metas])</f>
        <v>0</v>
      </c>
      <c r="L6" s="11">
        <f>SUM(Saque[Familia])</f>
        <v>0</v>
      </c>
      <c r="M6" s="11">
        <f>SUM(H6:L6)</f>
        <v>0</v>
      </c>
    </row>
    <row r="7" spans="2:18" ht="26.25">
      <c r="B7" s="82" t="s">
        <v>24</v>
      </c>
      <c r="C7" s="83" t="s">
        <v>11</v>
      </c>
      <c r="D7" s="83" t="s">
        <v>12</v>
      </c>
      <c r="E7" s="83" t="s">
        <v>47</v>
      </c>
      <c r="F7" s="83" t="s">
        <v>13</v>
      </c>
      <c r="G7" s="83" t="s">
        <v>67</v>
      </c>
      <c r="H7" s="76" t="s">
        <v>0</v>
      </c>
      <c r="I7" s="77" t="s">
        <v>1</v>
      </c>
      <c r="J7" s="78" t="s">
        <v>2</v>
      </c>
      <c r="K7" s="79" t="s">
        <v>3</v>
      </c>
      <c r="L7" s="80" t="s">
        <v>4</v>
      </c>
      <c r="M7" s="81" t="s">
        <v>25</v>
      </c>
    </row>
    <row r="8" spans="2:18" ht="26.25">
      <c r="B8" s="107" t="s">
        <v>27</v>
      </c>
      <c r="C8" s="108" t="s">
        <v>27</v>
      </c>
      <c r="D8" s="109" t="s">
        <v>27</v>
      </c>
      <c r="E8" s="105" t="s">
        <v>27</v>
      </c>
      <c r="F8" s="110" t="s">
        <v>27</v>
      </c>
      <c r="G8" s="110" t="s">
        <v>27</v>
      </c>
      <c r="H8" s="106" t="s">
        <v>27</v>
      </c>
      <c r="I8" s="106" t="s">
        <v>27</v>
      </c>
      <c r="J8" s="106" t="s">
        <v>27</v>
      </c>
      <c r="K8" s="106" t="s">
        <v>27</v>
      </c>
      <c r="L8" s="106" t="s">
        <v>27</v>
      </c>
      <c r="M8" s="106" t="s">
        <v>27</v>
      </c>
    </row>
    <row r="9" spans="2:18">
      <c r="C9" t="s">
        <v>32</v>
      </c>
      <c r="J9" s="13"/>
    </row>
  </sheetData>
  <sheetProtection sheet="1" objects="1" scenarios="1" sort="0" autoFilter="0"/>
  <mergeCells count="5">
    <mergeCell ref="H4:M4"/>
    <mergeCell ref="B2:M2"/>
    <mergeCell ref="B3:M3"/>
    <mergeCell ref="P2:R2"/>
    <mergeCell ref="Q3:R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2"/>
  <dimension ref="B2:W15"/>
  <sheetViews>
    <sheetView topLeftCell="D1" zoomScale="55" zoomScaleNormal="55" workbookViewId="0">
      <selection activeCell="U9" sqref="U9:W10"/>
    </sheetView>
  </sheetViews>
  <sheetFormatPr defaultRowHeight="15"/>
  <cols>
    <col min="2" max="2" width="23.5703125" bestFit="1" customWidth="1"/>
    <col min="3" max="3" width="30.28515625" bestFit="1" customWidth="1"/>
    <col min="4" max="4" width="37.85546875" bestFit="1" customWidth="1"/>
    <col min="5" max="5" width="49.42578125" bestFit="1" customWidth="1"/>
    <col min="6" max="6" width="44.28515625" bestFit="1" customWidth="1"/>
    <col min="7" max="7" width="33.85546875" bestFit="1" customWidth="1"/>
    <col min="8" max="8" width="17" bestFit="1" customWidth="1"/>
    <col min="9" max="9" width="19.5703125" bestFit="1" customWidth="1"/>
    <col min="10" max="10" width="25.28515625" bestFit="1" customWidth="1"/>
    <col min="11" max="11" width="38.28515625" bestFit="1" customWidth="1"/>
    <col min="12" max="12" width="49.42578125" bestFit="1" customWidth="1"/>
    <col min="13" max="13" width="49" bestFit="1" customWidth="1"/>
    <col min="14" max="14" width="22.7109375" bestFit="1" customWidth="1"/>
    <col min="15" max="15" width="24.28515625" bestFit="1" customWidth="1"/>
    <col min="16" max="16" width="41.42578125" bestFit="1" customWidth="1"/>
    <col min="17" max="17" width="37.85546875" bestFit="1" customWidth="1"/>
    <col min="18" max="18" width="45.5703125" bestFit="1" customWidth="1"/>
    <col min="20" max="20" width="7.42578125" bestFit="1" customWidth="1"/>
    <col min="21" max="21" width="19.85546875" bestFit="1" customWidth="1"/>
    <col min="22" max="22" width="29.28515625" bestFit="1" customWidth="1"/>
    <col min="23" max="23" width="36.28515625" bestFit="1" customWidth="1"/>
    <col min="24" max="24" width="8.7109375" customWidth="1"/>
    <col min="25" max="25" width="28.140625" bestFit="1" customWidth="1"/>
  </cols>
  <sheetData>
    <row r="2" spans="2:23" ht="31.5">
      <c r="B2" s="142" t="s">
        <v>14</v>
      </c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5"/>
    </row>
    <row r="3" spans="2:23" ht="23.25">
      <c r="B3" s="141" t="s">
        <v>22</v>
      </c>
      <c r="C3" s="141"/>
      <c r="D3" s="141"/>
      <c r="E3" s="141"/>
      <c r="F3" s="141"/>
      <c r="G3" s="141"/>
      <c r="H3" s="141"/>
      <c r="I3" s="141"/>
      <c r="J3" s="141"/>
      <c r="K3" s="127" t="s">
        <v>19</v>
      </c>
      <c r="L3" s="127"/>
      <c r="M3" s="127"/>
      <c r="N3" s="127"/>
      <c r="O3" s="127"/>
      <c r="P3" s="127"/>
      <c r="Q3" s="127" t="s">
        <v>35</v>
      </c>
      <c r="R3" s="127"/>
    </row>
    <row r="4" spans="2:23" ht="21">
      <c r="B4" s="42" t="s">
        <v>39</v>
      </c>
      <c r="C4" s="42" t="s">
        <v>40</v>
      </c>
      <c r="D4" s="47"/>
      <c r="E4" s="47"/>
      <c r="F4" s="47"/>
      <c r="G4" s="47"/>
      <c r="H4" s="47"/>
      <c r="I4" s="47"/>
      <c r="J4" s="41"/>
      <c r="K4" s="2" t="s">
        <v>0</v>
      </c>
      <c r="L4" s="3" t="s">
        <v>1</v>
      </c>
      <c r="M4" s="4" t="s">
        <v>2</v>
      </c>
      <c r="N4" s="5" t="s">
        <v>3</v>
      </c>
      <c r="O4" s="6" t="s">
        <v>4</v>
      </c>
      <c r="P4" s="7" t="s">
        <v>20</v>
      </c>
      <c r="Q4" s="14"/>
      <c r="R4" s="14"/>
    </row>
    <row r="5" spans="2:23" ht="21">
      <c r="B5" s="37">
        <f ca="1">C5</f>
        <v>44968</v>
      </c>
      <c r="C5" s="38">
        <f ca="1">TODAY()</f>
        <v>44968</v>
      </c>
      <c r="D5" s="49"/>
      <c r="E5" s="49"/>
      <c r="F5" s="49"/>
      <c r="G5" s="49"/>
      <c r="H5" s="49"/>
      <c r="I5" s="49"/>
      <c r="J5" s="50"/>
      <c r="K5" s="8">
        <f>SUM(Emprestimo[Gastos Pessoais])</f>
        <v>0</v>
      </c>
      <c r="L5" s="8">
        <f>SUM(Emprestimo[Aplicações Financeiras])</f>
        <v>0</v>
      </c>
      <c r="M5" s="8">
        <f>SUM(Emprestimo[Gastos Circunstanciais])</f>
        <v>0</v>
      </c>
      <c r="N5" s="8">
        <f>SUM(Emprestimo[Metas])</f>
        <v>0</v>
      </c>
      <c r="O5" s="8">
        <f>SUM(Emprestimo[Familia])</f>
        <v>0</v>
      </c>
      <c r="P5" s="8">
        <f>SUM(K5:O5)</f>
        <v>0</v>
      </c>
      <c r="Q5" s="47"/>
      <c r="R5" s="47"/>
    </row>
    <row r="6" spans="2:23" ht="26.25">
      <c r="B6" s="82" t="s">
        <v>17</v>
      </c>
      <c r="C6" s="83" t="s">
        <v>21</v>
      </c>
      <c r="D6" s="83" t="s">
        <v>18</v>
      </c>
      <c r="E6" s="83" t="s">
        <v>16</v>
      </c>
      <c r="F6" s="83" t="s">
        <v>33</v>
      </c>
      <c r="G6" s="83" t="s">
        <v>47</v>
      </c>
      <c r="H6" s="83" t="s">
        <v>13</v>
      </c>
      <c r="I6" s="83" t="s">
        <v>67</v>
      </c>
      <c r="J6" s="83" t="s">
        <v>12</v>
      </c>
      <c r="K6" s="85" t="s">
        <v>0</v>
      </c>
      <c r="L6" s="86" t="s">
        <v>1</v>
      </c>
      <c r="M6" s="87" t="s">
        <v>2</v>
      </c>
      <c r="N6" s="88" t="s">
        <v>3</v>
      </c>
      <c r="O6" s="89" t="s">
        <v>4</v>
      </c>
      <c r="P6" s="90" t="s">
        <v>20</v>
      </c>
      <c r="Q6" s="91" t="s">
        <v>15</v>
      </c>
      <c r="R6" s="92" t="s">
        <v>34</v>
      </c>
      <c r="U6" s="143" t="s">
        <v>43</v>
      </c>
      <c r="V6" s="144"/>
      <c r="W6" s="145"/>
    </row>
    <row r="7" spans="2:23" ht="26.25">
      <c r="B7" s="153" t="s">
        <v>27</v>
      </c>
      <c r="C7" s="153" t="s">
        <v>27</v>
      </c>
      <c r="D7" s="154" t="s">
        <v>27</v>
      </c>
      <c r="E7" s="154" t="s">
        <v>27</v>
      </c>
      <c r="F7" s="155" t="s">
        <v>27</v>
      </c>
      <c r="G7" s="156" t="s">
        <v>27</v>
      </c>
      <c r="H7" s="153" t="s">
        <v>27</v>
      </c>
      <c r="I7" s="153" t="s">
        <v>27</v>
      </c>
      <c r="J7" s="157" t="s">
        <v>27</v>
      </c>
      <c r="K7" s="155" t="s">
        <v>27</v>
      </c>
      <c r="L7" s="155" t="s">
        <v>27</v>
      </c>
      <c r="M7" s="155" t="s">
        <v>27</v>
      </c>
      <c r="N7" s="155" t="s">
        <v>27</v>
      </c>
      <c r="O7" s="155" t="s">
        <v>27</v>
      </c>
      <c r="P7" s="155" t="s">
        <v>27</v>
      </c>
      <c r="Q7" s="158" t="s">
        <v>27</v>
      </c>
      <c r="R7" s="155" t="s">
        <v>27</v>
      </c>
      <c r="U7" s="82" t="s">
        <v>44</v>
      </c>
      <c r="V7" s="83" t="s">
        <v>45</v>
      </c>
      <c r="W7" s="84" t="s">
        <v>46</v>
      </c>
    </row>
    <row r="8" spans="2:23" ht="26.25">
      <c r="E8" s="1"/>
      <c r="F8" s="1"/>
      <c r="U8" s="114" t="s">
        <v>27</v>
      </c>
      <c r="V8" s="112" t="s">
        <v>27</v>
      </c>
      <c r="W8" s="112" t="s">
        <v>27</v>
      </c>
    </row>
    <row r="9" spans="2:23">
      <c r="E9" s="1"/>
      <c r="F9" s="1"/>
    </row>
    <row r="10" spans="2:23">
      <c r="E10" s="1"/>
      <c r="F10" s="1"/>
    </row>
    <row r="11" spans="2:23">
      <c r="F11" s="1"/>
    </row>
    <row r="12" spans="2:23">
      <c r="F12" s="1"/>
    </row>
    <row r="13" spans="2:23">
      <c r="F13" s="1"/>
    </row>
    <row r="14" spans="2:23">
      <c r="F14" s="1"/>
    </row>
    <row r="15" spans="2:23">
      <c r="F15" s="1"/>
    </row>
  </sheetData>
  <sheetProtection sheet="1" objects="1" scenarios="1" sort="0" autoFilter="0"/>
  <mergeCells count="5">
    <mergeCell ref="K3:P3"/>
    <mergeCell ref="B3:J3"/>
    <mergeCell ref="Q3:R3"/>
    <mergeCell ref="B2:R2"/>
    <mergeCell ref="U6:W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B3:I9"/>
  <sheetViews>
    <sheetView zoomScale="85" zoomScaleNormal="85" workbookViewId="0">
      <selection activeCell="G13" sqref="G13"/>
    </sheetView>
  </sheetViews>
  <sheetFormatPr defaultRowHeight="15"/>
  <cols>
    <col min="2" max="2" width="14.42578125" bestFit="1" customWidth="1"/>
    <col min="3" max="3" width="16.28515625" bestFit="1" customWidth="1"/>
    <col min="4" max="4" width="13.7109375" bestFit="1" customWidth="1"/>
    <col min="5" max="5" width="29.85546875" bestFit="1" customWidth="1"/>
    <col min="6" max="6" width="41.140625" bestFit="1" customWidth="1"/>
    <col min="7" max="7" width="40.42578125" bestFit="1" customWidth="1"/>
    <col min="8" max="8" width="14.28515625" bestFit="1" customWidth="1"/>
    <col min="9" max="9" width="16" bestFit="1" customWidth="1"/>
  </cols>
  <sheetData>
    <row r="3" spans="2:9" ht="26.25">
      <c r="B3" s="146" t="s">
        <v>14</v>
      </c>
      <c r="C3" s="147"/>
      <c r="D3" s="147"/>
      <c r="E3" s="147"/>
      <c r="F3" s="147"/>
      <c r="G3" s="147"/>
      <c r="H3" s="147"/>
      <c r="I3" s="147"/>
    </row>
    <row r="4" spans="2:9" ht="23.25">
      <c r="B4" s="141" t="s">
        <v>41</v>
      </c>
      <c r="C4" s="141"/>
      <c r="D4" s="141"/>
      <c r="E4" s="141"/>
      <c r="F4" s="141"/>
      <c r="G4" s="141"/>
      <c r="H4" s="141"/>
      <c r="I4" s="141"/>
    </row>
    <row r="5" spans="2:9" ht="21">
      <c r="B5" s="42" t="s">
        <v>39</v>
      </c>
      <c r="C5" s="42" t="s">
        <v>40</v>
      </c>
      <c r="D5" s="131"/>
      <c r="E5" s="121" t="s">
        <v>42</v>
      </c>
      <c r="F5" s="122"/>
      <c r="G5" s="122"/>
      <c r="H5" s="122"/>
      <c r="I5" s="122"/>
    </row>
    <row r="6" spans="2:9" ht="21">
      <c r="B6" s="37">
        <f ca="1">C6</f>
        <v>44968</v>
      </c>
      <c r="C6" s="38">
        <f ca="1">TODAY()</f>
        <v>44968</v>
      </c>
      <c r="D6" s="131"/>
      <c r="E6" s="2" t="s">
        <v>0</v>
      </c>
      <c r="F6" s="3" t="s">
        <v>1</v>
      </c>
      <c r="G6" s="4" t="s">
        <v>2</v>
      </c>
      <c r="H6" s="5" t="s">
        <v>3</v>
      </c>
      <c r="I6" s="6" t="s">
        <v>4</v>
      </c>
    </row>
    <row r="7" spans="2:9" ht="21">
      <c r="B7" s="131"/>
      <c r="C7" s="132"/>
      <c r="D7" s="132"/>
      <c r="E7" s="8">
        <f>SUM(Movimentacoes[Gastos Pessoais])</f>
        <v>0</v>
      </c>
      <c r="F7" s="8">
        <f>SUM(Movimentacoes[Aplicações Financeiras])</f>
        <v>0</v>
      </c>
      <c r="G7" s="8">
        <f>SUM(Movimentacoes[Gastos Circunstanciais])</f>
        <v>0</v>
      </c>
      <c r="H7" s="8">
        <f>SUM(Movimentacoes[Metas])</f>
        <v>0</v>
      </c>
      <c r="I7" s="8">
        <f>SUM(Movimentacoes[Familia])</f>
        <v>0</v>
      </c>
    </row>
    <row r="8" spans="2:9" ht="26.25">
      <c r="B8" s="73" t="s">
        <v>8</v>
      </c>
      <c r="C8" s="75" t="s">
        <v>11</v>
      </c>
      <c r="D8" s="75" t="s">
        <v>13</v>
      </c>
      <c r="E8" s="93" t="s">
        <v>0</v>
      </c>
      <c r="F8" s="94" t="s">
        <v>1</v>
      </c>
      <c r="G8" s="95" t="s">
        <v>2</v>
      </c>
      <c r="H8" s="96" t="s">
        <v>3</v>
      </c>
      <c r="I8" s="97" t="s">
        <v>4</v>
      </c>
    </row>
    <row r="9" spans="2:9" ht="26.25">
      <c r="B9" s="98" t="s">
        <v>27</v>
      </c>
      <c r="C9" s="99" t="s">
        <v>27</v>
      </c>
      <c r="D9" s="99" t="s">
        <v>27</v>
      </c>
      <c r="E9" s="99" t="s">
        <v>27</v>
      </c>
      <c r="F9" s="99" t="s">
        <v>27</v>
      </c>
      <c r="G9" s="99" t="s">
        <v>27</v>
      </c>
      <c r="H9" s="99" t="s">
        <v>27</v>
      </c>
      <c r="I9" s="99" t="s">
        <v>27</v>
      </c>
    </row>
  </sheetData>
  <sheetProtection sheet="1" objects="1" scenarios="1" sort="0" autoFilter="0"/>
  <mergeCells count="5">
    <mergeCell ref="B3:I3"/>
    <mergeCell ref="B4:I4"/>
    <mergeCell ref="D5:D6"/>
    <mergeCell ref="E5:I5"/>
    <mergeCell ref="B7:D7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/>
  <dimension ref="B3:F9"/>
  <sheetViews>
    <sheetView topLeftCell="A4" zoomScale="85" zoomScaleNormal="85" workbookViewId="0">
      <selection activeCell="C9" sqref="C9:C115"/>
    </sheetView>
  </sheetViews>
  <sheetFormatPr defaultRowHeight="15"/>
  <cols>
    <col min="2" max="2" width="33.85546875" bestFit="1" customWidth="1"/>
    <col min="3" max="3" width="16.28515625" bestFit="1" customWidth="1"/>
    <col min="4" max="4" width="22.7109375" bestFit="1" customWidth="1"/>
    <col min="5" max="5" width="13.7109375" bestFit="1" customWidth="1"/>
    <col min="6" max="6" width="20.7109375" bestFit="1" customWidth="1"/>
  </cols>
  <sheetData>
    <row r="3" spans="2:6" ht="31.5">
      <c r="B3" s="149" t="s">
        <v>14</v>
      </c>
      <c r="C3" s="149"/>
      <c r="D3" s="149"/>
      <c r="E3" s="149"/>
      <c r="F3" s="149"/>
    </row>
    <row r="4" spans="2:6" ht="23.25">
      <c r="B4" s="148" t="s">
        <v>35</v>
      </c>
      <c r="C4" s="148"/>
      <c r="D4" s="148"/>
      <c r="E4" s="148"/>
      <c r="F4" s="148"/>
    </row>
    <row r="5" spans="2:6" ht="21">
      <c r="B5" s="42" t="s">
        <v>39</v>
      </c>
      <c r="C5" s="42" t="s">
        <v>40</v>
      </c>
      <c r="D5" s="132"/>
      <c r="E5" s="132"/>
      <c r="F5" s="132"/>
    </row>
    <row r="6" spans="2:6" ht="21">
      <c r="B6" s="37">
        <f ca="1">C6</f>
        <v>44968</v>
      </c>
      <c r="C6" s="38">
        <f ca="1">TODAY()</f>
        <v>44968</v>
      </c>
      <c r="D6" s="132"/>
      <c r="E6" s="132"/>
      <c r="F6" s="132"/>
    </row>
    <row r="7" spans="2:6" ht="21">
      <c r="B7" s="48"/>
      <c r="C7" s="48"/>
      <c r="D7" s="132"/>
      <c r="E7" s="132"/>
      <c r="F7" s="132"/>
    </row>
    <row r="8" spans="2:6" ht="26.25">
      <c r="B8" s="100" t="s">
        <v>66</v>
      </c>
      <c r="C8" s="101" t="s">
        <v>11</v>
      </c>
      <c r="D8" s="101" t="s">
        <v>12</v>
      </c>
      <c r="E8" s="101" t="s">
        <v>13</v>
      </c>
      <c r="F8" s="101" t="s">
        <v>68</v>
      </c>
    </row>
    <row r="9" spans="2:6" ht="26.25">
      <c r="B9" s="111" t="s">
        <v>27</v>
      </c>
      <c r="C9" s="112" t="s">
        <v>27</v>
      </c>
      <c r="D9" s="113" t="s">
        <v>27</v>
      </c>
      <c r="E9" s="114" t="s">
        <v>27</v>
      </c>
      <c r="F9" s="115" t="s">
        <v>27</v>
      </c>
    </row>
  </sheetData>
  <sheetProtection sheet="1" objects="1" scenarios="1" sort="0" autoFilter="0"/>
  <mergeCells count="3">
    <mergeCell ref="B4:F4"/>
    <mergeCell ref="D5:F7"/>
    <mergeCell ref="B3:F3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11"/>
  <dimension ref="B2:J6"/>
  <sheetViews>
    <sheetView zoomScale="70" zoomScaleNormal="70" workbookViewId="0">
      <selection activeCell="G23" sqref="G23"/>
    </sheetView>
  </sheetViews>
  <sheetFormatPr defaultRowHeight="15"/>
  <cols>
    <col min="2" max="2" width="15.85546875" bestFit="1" customWidth="1"/>
    <col min="3" max="3" width="45.85546875" bestFit="1" customWidth="1"/>
    <col min="4" max="4" width="15.28515625" bestFit="1" customWidth="1"/>
    <col min="5" max="5" width="18.140625" bestFit="1" customWidth="1"/>
    <col min="6" max="6" width="32.85546875" bestFit="1" customWidth="1"/>
    <col min="7" max="7" width="32.140625" bestFit="1" customWidth="1"/>
    <col min="8" max="8" width="34.5703125" bestFit="1" customWidth="1"/>
    <col min="9" max="9" width="32.85546875" bestFit="1" customWidth="1"/>
    <col min="10" max="10" width="28.85546875" bestFit="1" customWidth="1"/>
  </cols>
  <sheetData>
    <row r="2" spans="2:10" ht="26.25">
      <c r="B2" s="150" t="s">
        <v>14</v>
      </c>
      <c r="C2" s="151"/>
      <c r="D2" s="151"/>
      <c r="E2" s="151"/>
      <c r="F2" s="151"/>
      <c r="G2" s="151"/>
      <c r="H2" s="151"/>
      <c r="I2" s="151"/>
      <c r="J2" s="151"/>
    </row>
    <row r="3" spans="2:10" ht="23.25">
      <c r="B3" s="152" t="s">
        <v>49</v>
      </c>
      <c r="C3" s="148"/>
      <c r="D3" s="148"/>
      <c r="E3" s="148"/>
      <c r="F3" s="148"/>
      <c r="G3" s="148"/>
      <c r="H3" s="148"/>
      <c r="I3" s="148"/>
      <c r="J3" s="148"/>
    </row>
    <row r="4" spans="2:10" ht="21">
      <c r="B4" s="51" t="s">
        <v>39</v>
      </c>
      <c r="C4" s="37">
        <f ca="1">E4</f>
        <v>44968</v>
      </c>
      <c r="D4" s="51" t="s">
        <v>40</v>
      </c>
      <c r="E4" s="38">
        <f ca="1">TODAY()</f>
        <v>44968</v>
      </c>
      <c r="F4" s="52"/>
      <c r="G4" s="52"/>
      <c r="H4" s="52"/>
      <c r="I4" s="52"/>
      <c r="J4" s="52"/>
    </row>
    <row r="5" spans="2:10" ht="26.25">
      <c r="B5" s="102" t="s">
        <v>8</v>
      </c>
      <c r="C5" s="75" t="s">
        <v>50</v>
      </c>
      <c r="D5" s="75" t="s">
        <v>13</v>
      </c>
      <c r="E5" s="75" t="s">
        <v>67</v>
      </c>
      <c r="F5" s="103" t="s">
        <v>47</v>
      </c>
      <c r="G5" s="75" t="s">
        <v>48</v>
      </c>
      <c r="H5" s="75" t="s">
        <v>51</v>
      </c>
      <c r="I5" s="104" t="s">
        <v>52</v>
      </c>
      <c r="J5" s="75" t="s">
        <v>21</v>
      </c>
    </row>
    <row r="6" spans="2:10" ht="26.25">
      <c r="B6" s="116" t="s">
        <v>27</v>
      </c>
      <c r="C6" s="117" t="s">
        <v>27</v>
      </c>
      <c r="D6" s="118" t="s">
        <v>27</v>
      </c>
      <c r="E6" s="118" t="s">
        <v>27</v>
      </c>
      <c r="F6" s="119" t="s">
        <v>27</v>
      </c>
      <c r="G6" s="119" t="s">
        <v>27</v>
      </c>
      <c r="H6" s="117" t="s">
        <v>27</v>
      </c>
      <c r="I6" s="117" t="s">
        <v>27</v>
      </c>
      <c r="J6" s="114" t="s">
        <v>27</v>
      </c>
    </row>
  </sheetData>
  <sheetProtection sheet="1" objects="1" scenarios="1" sort="0" autoFilter="0"/>
  <mergeCells count="2">
    <mergeCell ref="B2:J2"/>
    <mergeCell ref="B3:J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11</vt:i4>
      </vt:variant>
    </vt:vector>
  </HeadingPairs>
  <TitlesOfParts>
    <vt:vector size="20" baseType="lpstr">
      <vt:lpstr>Dashboard</vt:lpstr>
      <vt:lpstr>Tabelas Dinâmicas</vt:lpstr>
      <vt:lpstr>Base de Dados</vt:lpstr>
      <vt:lpstr>Deposito</vt:lpstr>
      <vt:lpstr>Saque</vt:lpstr>
      <vt:lpstr>Emprestimo</vt:lpstr>
      <vt:lpstr>Movimentações</vt:lpstr>
      <vt:lpstr>Pagamentos</vt:lpstr>
      <vt:lpstr>Parcelamentos</vt:lpstr>
      <vt:lpstr>FIM_DIV_MENSAL</vt:lpstr>
      <vt:lpstr>FIM_PERC_RECEITA</vt:lpstr>
      <vt:lpstr>FIM_VAL_TOT</vt:lpstr>
      <vt:lpstr>FIMVALTOT</vt:lpstr>
      <vt:lpstr>INICIO_DIV_MENSAL</vt:lpstr>
      <vt:lpstr>INICIO_PERC_RECEITA</vt:lpstr>
      <vt:lpstr>INICIO_VAL_TOT</vt:lpstr>
      <vt:lpstr>INICIOVALTOT</vt:lpstr>
      <vt:lpstr>MODALITIES</vt:lpstr>
      <vt:lpstr>Password</vt:lpstr>
      <vt:lpstr>Username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2023-02-11T15:50:06Z</dcterms:modified>
</cp:coreProperties>
</file>