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1567" r:id="rId10"/>
    <pivotCache cacheId="1570" r:id="rId11"/>
    <pivotCache cacheId="1573" r:id="rId12"/>
    <pivotCache cacheId="1576" r:id="rId13"/>
    <pivotCache cacheId="1579" r:id="rId14"/>
  </pivotCaches>
</workbook>
</file>

<file path=xl/calcChain.xml><?xml version="1.0" encoding="utf-8"?>
<calcChain xmlns="http://schemas.openxmlformats.org/spreadsheetml/2006/main">
  <c r="O5" i="5"/>
  <c r="N5"/>
  <c r="M5"/>
  <c r="L5"/>
  <c r="K5"/>
  <c r="I6" i="4"/>
  <c r="H6"/>
  <c r="G6"/>
  <c r="F6"/>
  <c r="E6"/>
  <c r="L6" i="6"/>
  <c r="K6"/>
  <c r="J6"/>
  <c r="I6"/>
  <c r="H6"/>
  <c r="J8" i="9"/>
  <c r="J6" i="4" l="1"/>
  <c r="P5" i="5"/>
  <c r="M6" i="6"/>
  <c r="G15" i="9"/>
  <c r="G17"/>
  <c r="G16" l="1"/>
  <c r="I7" i="14" l="1"/>
  <c r="H7"/>
  <c r="G7"/>
  <c r="F7"/>
  <c r="E7"/>
  <c r="D5" i="9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G8" i="9"/>
  <c r="G7"/>
  <c r="G6"/>
  <c r="G5"/>
  <c r="G4"/>
  <c r="G3"/>
  <c r="D6"/>
  <c r="D7"/>
  <c r="D8" l="1"/>
  <c r="G12" s="1"/>
  <c r="G13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<sst xmlns="http://schemas.openxmlformats.org/spreadsheetml/2006/main" count="264" uniqueCount="75">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</sst>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indexed="8"/>
      <name val="Calibri"/>
      <family val="2"/>
    </font>
    <font>
      <sz val="20"/>
      <color theme="0"/>
      <name val="Calibri"/>
      <family val="2"/>
      <scheme val="minor"/>
    </font>
    <font>
      <sz val="20"/>
      <color indexed="8"/>
      <name val="Calibri"/>
    </font>
    <font>
      <sz val="20"/>
      <color indexed="8"/>
      <name val="Calibri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9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8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8" fillId="11" borderId="8" xfId="0" applyFont="1" applyFill="1" applyBorder="1" applyAlignment="1">
      <alignment vertical="center"/>
    </xf>
    <xf numFmtId="0" fontId="8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1" fillId="8" borderId="9" xfId="0" applyFont="1" applyFill="1" applyBorder="1" applyAlignment="1" applyProtection="1">
      <alignment horizontal="center"/>
    </xf>
    <xf numFmtId="0" fontId="8" fillId="11" borderId="11" xfId="0" applyFont="1" applyFill="1" applyBorder="1" applyAlignment="1">
      <alignment vertical="center"/>
    </xf>
    <xf numFmtId="0" fontId="8" fillId="11" borderId="0" xfId="0" applyFont="1" applyFill="1" applyBorder="1" applyAlignment="1">
      <alignment vertical="center"/>
    </xf>
    <xf numFmtId="0" fontId="8" fillId="11" borderId="14" xfId="0" applyFont="1" applyFill="1" applyBorder="1" applyAlignment="1">
      <alignment vertical="center"/>
    </xf>
    <xf numFmtId="0" fontId="8" fillId="11" borderId="15" xfId="0" applyFont="1" applyFill="1" applyBorder="1" applyAlignment="1">
      <alignment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0" fontId="12" fillId="9" borderId="9" xfId="0" applyFont="1" applyFill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8" borderId="8" xfId="0" applyFont="1" applyFill="1" applyBorder="1" applyAlignment="1">
      <alignment horizontal="center" vertical="center"/>
    </xf>
    <xf numFmtId="0" fontId="13" fillId="0" borderId="0" xfId="0" applyFont="1"/>
    <xf numFmtId="167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14" fillId="0" borderId="0" xfId="0" applyNumberFormat="1" applyFont="1" applyFill="1" applyBorder="1" applyAlignment="1" applyProtection="1"/>
    <xf numFmtId="9" fontId="0" fillId="9" borderId="1" xfId="2" applyFont="1" applyFill="1" applyBorder="1" applyAlignment="1">
      <alignment horizontal="center" vertical="center"/>
    </xf>
    <xf numFmtId="14" fontId="15" fillId="10" borderId="15" xfId="0" applyNumberFormat="1" applyFont="1" applyFill="1" applyBorder="1" applyAlignment="1">
      <alignment horizontal="center" vertical="center"/>
    </xf>
    <xf numFmtId="44" fontId="15" fillId="10" borderId="5" xfId="1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8" fillId="10" borderId="1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44" fontId="6" fillId="2" borderId="5" xfId="1" applyFont="1" applyFill="1" applyBorder="1" applyAlignment="1">
      <alignment horizontal="center" vertical="center"/>
    </xf>
    <xf numFmtId="44" fontId="6" fillId="3" borderId="5" xfId="1" applyFont="1" applyFill="1" applyBorder="1" applyAlignment="1">
      <alignment horizontal="center" vertical="center"/>
    </xf>
    <xf numFmtId="44" fontId="6" fillId="4" borderId="5" xfId="1" applyFont="1" applyFill="1" applyBorder="1" applyAlignment="1">
      <alignment horizontal="center" vertical="center"/>
    </xf>
    <xf numFmtId="44" fontId="6" fillId="5" borderId="5" xfId="1" applyFont="1" applyFill="1" applyBorder="1" applyAlignment="1">
      <alignment horizontal="center" vertical="center"/>
    </xf>
    <xf numFmtId="44" fontId="6" fillId="6" borderId="5" xfId="1" applyFont="1" applyFill="1" applyBorder="1" applyAlignment="1">
      <alignment horizontal="center" vertical="center"/>
    </xf>
    <xf numFmtId="44" fontId="6" fillId="12" borderId="5" xfId="1" applyFont="1" applyFill="1" applyBorder="1" applyAlignment="1">
      <alignment horizontal="center" vertical="center"/>
    </xf>
    <xf numFmtId="44" fontId="18" fillId="10" borderId="5" xfId="1" applyFont="1" applyFill="1" applyBorder="1" applyAlignment="1">
      <alignment horizontal="center" vertical="center"/>
    </xf>
    <xf numFmtId="44" fontId="18" fillId="10" borderId="4" xfId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5" borderId="5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14" fontId="6" fillId="16" borderId="11" xfId="0" applyNumberFormat="1" applyFont="1" applyFill="1" applyBorder="1" applyAlignment="1">
      <alignment horizontal="center" vertical="center"/>
    </xf>
    <xf numFmtId="165" fontId="6" fillId="16" borderId="11" xfId="0" applyNumberFormat="1" applyFont="1" applyFill="1" applyBorder="1" applyAlignment="1">
      <alignment horizontal="center" vertical="center"/>
    </xf>
    <xf numFmtId="0" fontId="18" fillId="10" borderId="13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center" vertical="center"/>
    </xf>
    <xf numFmtId="0" fontId="15" fillId="10" borderId="5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7" fillId="19" borderId="0" xfId="0" applyNumberFormat="1" applyFont="1" applyFill="1" applyBorder="1" applyAlignment="1" applyProtection="1">
      <alignment horizontal="center" vertical="center"/>
    </xf>
    <xf numFmtId="165" fontId="17" fillId="19" borderId="0" xfId="1" applyNumberFormat="1" applyFont="1" applyFill="1" applyBorder="1" applyAlignment="1" applyProtection="1">
      <alignment horizontal="center" vertical="center"/>
    </xf>
    <xf numFmtId="14" fontId="17" fillId="19" borderId="0" xfId="0" applyNumberFormat="1" applyFont="1" applyFill="1" applyBorder="1" applyAlignment="1" applyProtection="1">
      <alignment horizontal="center" vertical="center"/>
    </xf>
    <xf numFmtId="44" fontId="17" fillId="19" borderId="0" xfId="1" applyFont="1" applyFill="1" applyBorder="1" applyAlignment="1" applyProtection="1">
      <alignment horizontal="center" vertical="center"/>
    </xf>
    <xf numFmtId="49" fontId="17" fillId="19" borderId="0" xfId="0" applyNumberFormat="1" applyFont="1" applyFill="1" applyBorder="1" applyAlignment="1" applyProtection="1">
      <alignment horizontal="left" vertical="center"/>
    </xf>
    <xf numFmtId="49" fontId="17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 applyProtection="1">
      <alignment horizontal="center" vertical="center"/>
    </xf>
    <xf numFmtId="165" fontId="19" fillId="19" borderId="0" xfId="1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left" vertical="center"/>
    </xf>
    <xf numFmtId="0" fontId="19" fillId="19" borderId="0" xfId="0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>
      <alignment horizontal="center" vertical="center"/>
    </xf>
    <xf numFmtId="165" fontId="19" fillId="19" borderId="0" xfId="1" applyNumberFormat="1" applyFont="1" applyFill="1" applyBorder="1" applyAlignment="1">
      <alignment horizontal="center" vertical="center"/>
    </xf>
    <xf numFmtId="49" fontId="19" fillId="19" borderId="0" xfId="0" applyNumberFormat="1" applyFont="1" applyFill="1" applyBorder="1" applyAlignment="1">
      <alignment horizontal="center" vertical="center"/>
    </xf>
    <xf numFmtId="0" fontId="19" fillId="19" borderId="0" xfId="0" applyNumberFormat="1" applyFont="1" applyFill="1" applyBorder="1" applyAlignment="1">
      <alignment horizontal="center" vertical="center"/>
    </xf>
    <xf numFmtId="49" fontId="20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 applyProtection="1">
      <alignment horizontal="center" vertical="center"/>
    </xf>
    <xf numFmtId="165" fontId="20" fillId="19" borderId="0" xfId="1" applyNumberFormat="1" applyFont="1" applyFill="1" applyBorder="1" applyAlignment="1" applyProtection="1">
      <alignment horizontal="center" vertical="center"/>
    </xf>
    <xf numFmtId="0" fontId="20" fillId="19" borderId="0" xfId="0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left" vertical="center"/>
    </xf>
    <xf numFmtId="14" fontId="20" fillId="19" borderId="0" xfId="1" applyNumberFormat="1" applyFont="1" applyFill="1" applyBorder="1" applyAlignment="1" applyProtection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0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18"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alignment horizontal="center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9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7033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09022592"/>
        <c:axId val="109053056"/>
      </c:barChart>
      <c:catAx>
        <c:axId val="109022592"/>
        <c:scaling>
          <c:orientation val="minMax"/>
        </c:scaling>
        <c:delete val="1"/>
        <c:axPos val="b"/>
        <c:majorTickMark val="none"/>
        <c:tickLblPos val="none"/>
        <c:crossAx val="109053056"/>
        <c:crosses val="autoZero"/>
        <c:auto val="1"/>
        <c:lblAlgn val="ctr"/>
        <c:lblOffset val="100"/>
      </c:catAx>
      <c:valAx>
        <c:axId val="10905305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09022592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7.3853921065277384E-2"/>
          <c:h val="7.3010436691562763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62" footer="0.3149606200000136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7239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6723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535" footer="0.3149606200000153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24E-2"/>
          <c:y val="0.24922454492697799"/>
          <c:w val="0.55772095663851484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9462656"/>
        <c:axId val="109464192"/>
      </c:barChart>
      <c:catAx>
        <c:axId val="109462656"/>
        <c:scaling>
          <c:orientation val="minMax"/>
        </c:scaling>
        <c:delete val="1"/>
        <c:axPos val="b"/>
        <c:majorTickMark val="none"/>
        <c:tickLblPos val="none"/>
        <c:crossAx val="109464192"/>
        <c:crosses val="autoZero"/>
        <c:auto val="1"/>
        <c:lblAlgn val="ctr"/>
        <c:lblOffset val="100"/>
      </c:catAx>
      <c:valAx>
        <c:axId val="10946419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946265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68" footer="0.3149606200000136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5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11419776"/>
        <c:axId val="111421312"/>
      </c:barChart>
      <c:catAx>
        <c:axId val="111419776"/>
        <c:scaling>
          <c:orientation val="minMax"/>
        </c:scaling>
        <c:delete val="1"/>
        <c:axPos val="b"/>
        <c:tickLblPos val="none"/>
        <c:crossAx val="111421312"/>
        <c:crosses val="autoZero"/>
        <c:auto val="1"/>
        <c:lblAlgn val="ctr"/>
        <c:lblOffset val="100"/>
      </c:catAx>
      <c:valAx>
        <c:axId val="11142131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14197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4807"/>
          <c:h val="0.33514826824616101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07" footer="0.3149606200000110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5447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83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35049600"/>
        <c:axId val="135051136"/>
      </c:barChart>
      <c:catAx>
        <c:axId val="135049600"/>
        <c:scaling>
          <c:orientation val="minMax"/>
        </c:scaling>
        <c:delete val="1"/>
        <c:axPos val="b"/>
        <c:tickLblPos val="none"/>
        <c:crossAx val="135051136"/>
        <c:crosses val="autoZero"/>
        <c:auto val="1"/>
        <c:lblAlgn val="ctr"/>
        <c:lblOffset val="100"/>
      </c:catAx>
      <c:valAx>
        <c:axId val="1350511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5049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854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63" footer="0.3149606200000116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35256704"/>
        <c:axId val="135414144"/>
      </c:barChart>
      <c:catAx>
        <c:axId val="135256704"/>
        <c:scaling>
          <c:orientation val="minMax"/>
        </c:scaling>
        <c:axPos val="b"/>
        <c:majorTickMark val="none"/>
        <c:tickLblPos val="nextTo"/>
        <c:crossAx val="135414144"/>
        <c:crosses val="autoZero"/>
        <c:auto val="1"/>
        <c:lblAlgn val="ctr"/>
        <c:lblOffset val="100"/>
      </c:catAx>
      <c:valAx>
        <c:axId val="13541414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35256704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1351" footer="0.3149606200000135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35440256"/>
        <c:axId val="135441792"/>
      </c:barChart>
      <c:catAx>
        <c:axId val="135440256"/>
        <c:scaling>
          <c:orientation val="minMax"/>
        </c:scaling>
        <c:delete val="1"/>
        <c:axPos val="b"/>
        <c:majorTickMark val="none"/>
        <c:tickLblPos val="none"/>
        <c:crossAx val="135441792"/>
        <c:crosses val="autoZero"/>
        <c:auto val="1"/>
        <c:lblAlgn val="ctr"/>
        <c:lblOffset val="100"/>
      </c:catAx>
      <c:valAx>
        <c:axId val="13544179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5440256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46" footer="0.3149606200000134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35478656"/>
        <c:axId val="135480448"/>
      </c:lineChart>
      <c:catAx>
        <c:axId val="135478656"/>
        <c:scaling>
          <c:orientation val="minMax"/>
        </c:scaling>
        <c:axPos val="b"/>
        <c:tickLblPos val="nextTo"/>
        <c:crossAx val="135480448"/>
        <c:crosses val="autoZero"/>
        <c:auto val="1"/>
        <c:lblAlgn val="ctr"/>
        <c:lblOffset val="100"/>
      </c:catAx>
      <c:valAx>
        <c:axId val="135480448"/>
        <c:scaling>
          <c:orientation val="minMax"/>
        </c:scaling>
        <c:axPos val="l"/>
        <c:majorGridlines/>
        <c:numFmt formatCode="General" sourceLinked="1"/>
        <c:tickLblPos val="nextTo"/>
        <c:crossAx val="135478656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1346" footer="0.3149606200000134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8956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35561216"/>
        <c:axId val="135562752"/>
      </c:barChart>
      <c:catAx>
        <c:axId val="135561216"/>
        <c:scaling>
          <c:orientation val="minMax"/>
        </c:scaling>
        <c:delete val="1"/>
        <c:axPos val="b"/>
        <c:tickLblPos val="none"/>
        <c:crossAx val="135562752"/>
        <c:crosses val="autoZero"/>
        <c:auto val="1"/>
        <c:lblAlgn val="ctr"/>
        <c:lblOffset val="100"/>
      </c:catAx>
      <c:valAx>
        <c:axId val="13556275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55612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92"/>
          <c:y val="0.24586515918774848"/>
          <c:w val="0.26636696142438376"/>
          <c:h val="0.47250959916966068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1152" footer="0.3149606200000115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489"/>
          <c:w val="0.966695289818900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35644288"/>
        <c:axId val="135645824"/>
      </c:barChart>
      <c:catAx>
        <c:axId val="135644288"/>
        <c:scaling>
          <c:orientation val="minMax"/>
        </c:scaling>
        <c:delete val="1"/>
        <c:axPos val="b"/>
        <c:tickLblPos val="none"/>
        <c:crossAx val="135645824"/>
        <c:crosses val="autoZero"/>
        <c:auto val="1"/>
        <c:lblAlgn val="ctr"/>
        <c:lblOffset val="100"/>
      </c:catAx>
      <c:valAx>
        <c:axId val="13564582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56442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263"/>
          <c:w val="0.23733514787757562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1096" footer="0.3149606200000109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969.66265150463" createdVersion="3" refreshedVersion="3" minRefreshableVersion="3" recordCount="1">
  <cacheSource type="worksheet">
    <worksheetSource name="Devedores"/>
  </cacheSource>
  <cacheFields count="3">
    <cacheField name="Nome" numFmtId="0">
      <sharedItems containsBlank="1" count="41">
        <s v="-"/>
        <m u="1"/>
        <s v="Z" u="1"/>
        <s v="S" u="1"/>
        <s v="Aurelio" u="1"/>
        <s v="Gabriel Darze" u="1"/>
        <s v="Marcelo" u="1"/>
        <s v="Q" u="1"/>
        <s v="Falso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Pedro" u="1"/>
        <s v="Ronaldo Paulino" u="1"/>
        <s v="Mario Antonio" u="1"/>
        <s v="Marcos" u="1"/>
        <s v="A" u="1"/>
        <s v="Larissa" u="1"/>
        <s v="Larissa " u="1"/>
        <s v="Luiz Felipe" u="1"/>
        <s v="Joao" u="1"/>
        <s v="Nome" u="1"/>
        <s v="Wellington Junior" u="1"/>
        <s v="Rodrigo Peixoto" u="1"/>
        <s v="Wellington Junio" u="1"/>
        <s v="Jonathan" u="1"/>
        <s v="R" u="1"/>
        <s v="asd" u="1"/>
        <s v="Maria Amelia" u="1"/>
        <s v="W" u="1"/>
        <s v="Ana Beatriz" u="1"/>
        <s v="P" u="1"/>
        <s v="Naiana Sampaio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969.662651620369" createdVersion="3" refreshedVersion="3" minRefreshableVersion="3" recordCount="1">
  <cacheSource type="worksheet">
    <worksheetSource name="Parcelamento"/>
  </cacheSource>
  <cacheFields count="9">
    <cacheField name="Data" numFmtId="14">
      <sharedItems/>
    </cacheField>
    <cacheField name="Valor do Parcelamento" numFmtId="165">
      <sharedItems/>
    </cacheField>
    <cacheField name="Tipo" numFmtId="49">
      <sharedItems count="3">
        <s v="-"/>
        <s v="Saque" u="1"/>
        <s v="Emprestimo" u="1"/>
      </sharedItems>
    </cacheField>
    <cacheField name="Banco" numFmtId="49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969.662651620369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3-02-13T00:00:00" count="10">
        <s v="-"/>
        <d v="2022-10-25T00:00:00" u="1"/>
        <d v="2022-11-09T00:00:00" u="1"/>
        <d v="2022-06-01T00:00:00" u="1"/>
        <d v="2022-11-07T00:00:00" u="1"/>
        <d v="2023-02-12T00:00:00" u="1"/>
        <d v="2022-11-05T00:00:00" u="1"/>
        <d v="2022-01-10T00:00:00" u="1"/>
        <d v="2022-01-15T00:00:00" u="1"/>
        <d v="2022-06-21T00:00:00" u="1"/>
      </sharedItems>
    </cacheField>
    <cacheField name="Valor" numFmtId="44">
      <sharedItems/>
    </cacheField>
    <cacheField name="Descrição" numFmtId="49">
      <sharedItems/>
    </cacheField>
    <cacheField name="Parcelas Totais" numFmtId="0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969.662651736115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969.662651851853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vedoresDinamica" cacheId="156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42">
        <item x="0"/>
        <item m="1" x="9"/>
        <item m="1" x="24"/>
        <item m="1" x="37"/>
        <item m="1" x="16"/>
        <item m="1" x="40"/>
        <item m="1" x="19"/>
        <item m="1" x="29"/>
        <item m="1" x="21"/>
        <item m="1" x="1"/>
        <item m="1" x="6"/>
        <item m="1" x="30"/>
        <item m="1" x="20"/>
        <item m="1" x="35"/>
        <item m="1" x="3"/>
        <item m="1" x="2"/>
        <item m="1" x="33"/>
        <item m="1" x="7"/>
        <item m="1" x="38"/>
        <item m="1" x="27"/>
        <item m="1" x="22"/>
        <item m="1" x="18"/>
        <item m="1" x="14"/>
        <item m="1" x="4"/>
        <item m="1" x="39"/>
        <item m="1" x="17"/>
        <item m="1" x="11"/>
        <item m="1" x="13"/>
        <item m="1" x="32"/>
        <item m="1" x="36"/>
        <item m="1" x="15"/>
        <item m="1" x="12"/>
        <item m="1" x="10"/>
        <item m="1" x="5"/>
        <item m="1" x="26"/>
        <item m="1" x="23"/>
        <item m="1" x="34"/>
        <item m="1" x="28"/>
        <item m="1" x="25"/>
        <item m="1" x="31"/>
        <item m="1" x="8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4">
      <pivotArea outline="0" collapsedLevelsAreSubtotals="1" fieldPosition="0"/>
    </format>
  </formats>
  <chartFormats count="7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aquesDinamica" cacheId="157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1">
        <item m="1" x="7"/>
        <item m="1" x="8"/>
        <item m="1" x="3"/>
        <item m="1" x="9"/>
        <item m="1" x="1"/>
        <item m="1" x="2"/>
        <item m="1" x="4"/>
        <item m="1" x="6"/>
        <item m="1" x="5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9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arcelamentosDinamica" cacheId="157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5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GraficoFinancasDinamica" cacheId="157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6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SaldosDinamica" cacheId="157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7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3" tableBorderDxfId="112" totalsRowBorderDxfId="111">
  <autoFilter ref="B2:D11"/>
  <tableColumns count="3">
    <tableColumn id="1" name="Index" dataDxfId="110"/>
    <tableColumn id="2" name="Valores Totais Aplicados"/>
    <tableColumn id="3" name="Valores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8" headerRowBorderDxfId="107" tableBorderDxfId="106" totalsRowBorderDxfId="105">
  <autoFilter ref="I2:J8"/>
  <tableColumns count="2">
    <tableColumn id="1" name="Procentagens da receita"/>
    <tableColumn id="2" name="Percentuais" dataDxfId="104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3" dataDxfId="101" headerRowBorderDxfId="102" tableBorderDxfId="100" totalsRowBorderDxfId="99">
  <autoFilter ref="F11:G17"/>
  <tableColumns count="2">
    <tableColumn id="1" name="Tipo" dataDxfId="98"/>
    <tableColumn id="2" name="Saldo" dataDxfId="97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6" dataDxfId="94" headerRowBorderDxfId="95" tableBorderDxfId="93" totalsRowBorderDxfId="92">
  <autoFilter ref="B7:J8"/>
  <sortState ref="B8:J33">
    <sortCondition descending="1" ref="B7:B33"/>
  </sortState>
  <tableColumns count="9">
    <tableColumn id="1" name="Data" dataDxfId="30"/>
    <tableColumn id="2" name="Valor" dataDxfId="29" dataCellStyle="Moeda"/>
    <tableColumn id="5" name="Descrição" dataDxfId="28"/>
    <tableColumn id="6" name="Gastos Pessoais" dataDxfId="27" dataCellStyle="Moeda"/>
    <tableColumn id="7" name="Aplicações Financeiras" dataDxfId="26" dataCellStyle="Moeda"/>
    <tableColumn id="8" name="Gastos Circunstanciais" dataDxfId="25" dataCellStyle="Moeda"/>
    <tableColumn id="9" name="Metas" dataDxfId="24" dataCellStyle="Moeda"/>
    <tableColumn id="10" name="Familia" dataDxfId="23" dataCellStyle="Moeda"/>
    <tableColumn id="11" name="Total Investido" dataDxfId="22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1" dataDxfId="89" headerRowBorderDxfId="90" tableBorderDxfId="88" totalsRowBorderDxfId="87">
  <autoFilter ref="B7:M8">
    <filterColumn colId="3"/>
    <filterColumn colId="4"/>
    <filterColumn colId="5"/>
  </autoFilter>
  <tableColumns count="12">
    <tableColumn id="1" name="Data Saque" dataDxfId="42"/>
    <tableColumn id="2" name="Valor" dataDxfId="41" dataCellStyle="Moeda"/>
    <tableColumn id="3" name="Descrição" dataDxfId="40"/>
    <tableColumn id="10" name="Parcelas Totais" dataDxfId="39"/>
    <tableColumn id="12" name="Tipo" dataDxfId="38"/>
    <tableColumn id="11" name="Banco" dataDxfId="37"/>
    <tableColumn id="4" name="Gastos Pessoais" dataDxfId="36" dataCellStyle="Moeda"/>
    <tableColumn id="5" name="Aplicações Financeiras" dataDxfId="35" dataCellStyle="Moeda"/>
    <tableColumn id="6" name="Gastos Circunstanciais" dataDxfId="34" dataCellStyle="Moeda"/>
    <tableColumn id="7" name="Metas" dataDxfId="33" dataCellStyle="Moeda"/>
    <tableColumn id="8" name="Familia" dataDxfId="32" dataCellStyle="Moeda"/>
    <tableColumn id="9" name="Total Saque" dataDxfId="31" dataCellStyle="Mo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86" dataDxfId="84" headerRowBorderDxfId="85" tableBorderDxfId="83" totalsRowBorderDxfId="82">
  <autoFilter ref="B6:R7">
    <filterColumn colId="0"/>
    <filterColumn colId="1"/>
    <filterColumn colId="5"/>
    <filterColumn colId="6"/>
    <filterColumn colId="7"/>
    <filterColumn colId="15"/>
    <filterColumn colId="16"/>
  </autoFilter>
  <sortState ref="B8:R307">
    <sortCondition descending="1" ref="D6:D317"/>
  </sortState>
  <tableColumns count="17">
    <tableColumn id="1" name="Situação" dataDxfId="62"/>
    <tableColumn id="2" name="Responsável" dataDxfId="61"/>
    <tableColumn id="4" name="Data Emprestimo" dataDxfId="60"/>
    <tableColumn id="5" name="Data Devolução Prevista" dataDxfId="59"/>
    <tableColumn id="7" name="Valor do Emprestimo" dataDxfId="58" dataCellStyle="Moeda"/>
    <tableColumn id="8" name="Parcelas Totais" dataDxfId="57"/>
    <tableColumn id="16" name="Tipo" dataDxfId="56"/>
    <tableColumn id="17" name="Banco" dataDxfId="55"/>
    <tableColumn id="9" name="Descrição" dataDxfId="54"/>
    <tableColumn id="10" name="Gastos Pessoais" dataDxfId="53" dataCellStyle="Moeda"/>
    <tableColumn id="11" name="Aplicações Financeiras" dataDxfId="52" dataCellStyle="Moeda"/>
    <tableColumn id="12" name="Gastos Circunstanciais" dataDxfId="51" dataCellStyle="Moeda"/>
    <tableColumn id="13" name="Metas" dataDxfId="50" dataCellStyle="Moeda"/>
    <tableColumn id="14" name="Familia" dataDxfId="49" dataCellStyle="Moeda"/>
    <tableColumn id="15" name="Total Emprestimo" dataDxfId="48" dataCellStyle="Moeda"/>
    <tableColumn id="3" name="Data Devolução" dataDxfId="47" dataCellStyle="Moeda"/>
    <tableColumn id="6" name="Valor do Pagamento" dataDxfId="46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8" totalsRowShown="0" headerRowDxfId="81" dataDxfId="79" headerRowBorderDxfId="80" tableBorderDxfId="78" totalsRowBorderDxfId="77">
  <autoFilter ref="U7:W8"/>
  <tableColumns count="3">
    <tableColumn id="1" name="Nome" dataDxfId="45"/>
    <tableColumn id="2" name="Divida Ativa" dataDxfId="44" dataCellStyle="Moeda"/>
    <tableColumn id="3" name="Divida Anistiada" dataDxfId="43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6" dataDxfId="74" headerRowBorderDxfId="75" tableBorderDxfId="73" totalsRowBorderDxfId="72">
  <autoFilter ref="B8:I9"/>
  <tableColumns count="8">
    <tableColumn id="1" name="Data" dataDxfId="21"/>
    <tableColumn id="2" name="Valor" dataDxfId="20"/>
    <tableColumn id="3" name="Tipo" dataDxfId="19"/>
    <tableColumn id="6" name="Gastos Pessoais" dataDxfId="18"/>
    <tableColumn id="7" name="Aplicações Financeiras" dataDxfId="17"/>
    <tableColumn id="8" name="Gastos Circunstanciais" dataDxfId="16"/>
    <tableColumn id="9" name="Metas" dataDxfId="15"/>
    <tableColumn id="10" name="Familia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1" dataDxfId="69" headerRowBorderDxfId="70" tableBorderDxfId="68" totalsRowBorderDxfId="67">
  <autoFilter ref="B8:F9">
    <filterColumn colId="4"/>
  </autoFilter>
  <sortState ref="B9:F102">
    <sortCondition descending="1" ref="B8:B102"/>
  </sortState>
  <tableColumns count="5">
    <tableColumn id="1" name="Data Pagamento" dataDxfId="13"/>
    <tableColumn id="2" name="Valor" dataDxfId="12" dataCellStyle="Moeda"/>
    <tableColumn id="3" name="Descrição" dataDxfId="11"/>
    <tableColumn id="12" name="Tipo" dataDxfId="10"/>
    <tableColumn id="4" name="Devedor" dataDxfId="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66" headerRowBorderDxfId="65" tableBorderDxfId="64" totalsRowBorderDxfId="63">
  <autoFilter ref="B5:J6">
    <filterColumn colId="3"/>
    <filterColumn colId="4"/>
    <filterColumn colId="7"/>
    <filterColumn colId="8"/>
  </autoFilter>
  <sortState ref="B6:J24">
    <sortCondition descending="1" ref="B5:B24"/>
  </sortState>
  <tableColumns count="9">
    <tableColumn id="1" name="Data" dataDxfId="8"/>
    <tableColumn id="2" name="Valor do Parcelamento" dataDxfId="7" dataCellStyle="Moeda"/>
    <tableColumn id="3" name="Tipo" dataDxfId="6"/>
    <tableColumn id="5" name="Banco" dataDxfId="5"/>
    <tableColumn id="6" name="Parcelas Totais" dataDxfId="4"/>
    <tableColumn id="7" name="Parcelas Pagas" dataDxfId="3"/>
    <tableColumn id="8" name="Valor da Parcela" dataDxfId="2" dataCellStyle="Moeda"/>
    <tableColumn id="4" name="Valor Restante" dataDxfId="1" dataCellStyle="Moeda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topLeftCell="A19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</row>
    <row r="3" spans="1:3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</row>
    <row r="4" spans="1:3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</row>
    <row r="6" spans="1:3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</row>
    <row r="7" spans="1:3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</row>
    <row r="8" spans="1:3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</row>
    <row r="9" spans="1:3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</row>
    <row r="10" spans="1:3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</row>
    <row r="11" spans="1:3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</row>
    <row r="12" spans="1:3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</row>
    <row r="13" spans="1:3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</row>
    <row r="14" spans="1:3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60"/>
      <c r="AA14" s="61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</row>
    <row r="15" spans="1:3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62"/>
      <c r="AA15" s="61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</row>
    <row r="16" spans="1:3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62"/>
      <c r="AA16" s="6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</row>
    <row r="17" spans="1:3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62"/>
      <c r="AA17" s="61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</row>
    <row r="18" spans="1:3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 t="s">
        <v>32</v>
      </c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</row>
    <row r="19" spans="1:3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</row>
    <row r="20" spans="1:3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</row>
    <row r="21" spans="1:3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</row>
    <row r="22" spans="1:3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</row>
    <row r="23" spans="1:3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</row>
    <row r="24" spans="1:3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</row>
    <row r="25" spans="1:3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</row>
    <row r="26" spans="1:3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</row>
    <row r="27" spans="1:3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</row>
    <row r="28" spans="1:3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</row>
    <row r="29" spans="1:3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</row>
    <row r="30" spans="1:3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</row>
    <row r="31" spans="1:3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</row>
    <row r="32" spans="1:3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</row>
    <row r="33" spans="1:3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</row>
    <row r="34" spans="1:3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</row>
    <row r="35" spans="1:3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</row>
    <row r="36" spans="1:3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</row>
    <row r="37" spans="1:3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</row>
    <row r="38" spans="1:3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</row>
    <row r="39" spans="1:3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</row>
    <row r="40" spans="1:3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</row>
    <row r="41" spans="1:3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</row>
    <row r="42" spans="1:3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</row>
    <row r="43" spans="1:38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</row>
    <row r="44" spans="1:38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</row>
    <row r="45" spans="1:38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</row>
    <row r="46" spans="1:38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</row>
    <row r="47" spans="1:38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</row>
    <row r="48" spans="1:38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</row>
    <row r="49" spans="1:38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</row>
    <row r="50" spans="1:38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</row>
    <row r="51" spans="1:38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</row>
    <row r="52" spans="1:38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</row>
    <row r="53" spans="1:38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</row>
    <row r="54" spans="1:38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</row>
    <row r="55" spans="1:3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</row>
    <row r="56" spans="1:3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</row>
    <row r="57" spans="1:3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  <row r="58" spans="1:3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</row>
    <row r="59" spans="1:3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</row>
    <row r="60" spans="1:3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</row>
    <row r="61" spans="1:3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</row>
    <row r="62" spans="1:3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</row>
    <row r="63" spans="1:3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</row>
    <row r="64" spans="1:3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1:3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</row>
    <row r="66" spans="1:3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</row>
    <row r="67" spans="1:3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1:3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1:3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1:3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1:3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1:3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1:3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1:3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1:3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1:3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1:3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1:3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1:3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1:3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</row>
    <row r="83" spans="1:3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</row>
    <row r="84" spans="1:3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</row>
    <row r="85" spans="1:3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</row>
    <row r="86" spans="1:3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</row>
    <row r="87" spans="1:3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</row>
    <row r="88" spans="1:3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</row>
    <row r="89" spans="1:3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</row>
    <row r="90" spans="1:3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</row>
    <row r="91" spans="1:3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</row>
    <row r="92" spans="1:3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</row>
    <row r="93" spans="1:3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</row>
    <row r="94" spans="1:3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</row>
    <row r="95" spans="1:3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</row>
    <row r="96" spans="1:3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</row>
    <row r="97" spans="1:3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customWidth="1"/>
    <col min="17" max="17" width="3.7109375" customWidth="1"/>
    <col min="18" max="18" width="8.42578125" customWidth="1"/>
    <col min="19" max="19" width="8.7109375" customWidth="1"/>
    <col min="20" max="20" width="25.7109375" customWidth="1"/>
    <col min="21" max="21" width="13.85546875" customWidth="1"/>
    <col min="22" max="22" width="15.85546875" customWidth="1"/>
    <col min="23" max="24" width="18.28515625" bestFit="1" customWidth="1"/>
    <col min="25" max="25" width="16.28515625" bestFit="1" customWidth="1"/>
    <col min="26" max="26" width="20.5703125" bestFit="1" customWidth="1"/>
    <col min="27" max="27" width="18.28515625" bestFit="1" customWidth="1"/>
    <col min="28" max="28" width="19.28515625" customWidth="1"/>
    <col min="29" max="29" width="19.7109375" bestFit="1" customWidth="1"/>
    <col min="30" max="30" width="19.7109375" customWidth="1"/>
    <col min="31" max="31" width="29.28515625" customWidth="1"/>
    <col min="32" max="32" width="25.7109375" bestFit="1" customWidth="1"/>
    <col min="33" max="33" width="13.85546875" customWidth="1"/>
    <col min="34" max="34" width="17.85546875" bestFit="1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54"/>
      <c r="AC1" s="54"/>
      <c r="AJ1" s="54"/>
      <c r="AR1" s="54"/>
    </row>
    <row r="2" spans="2:53">
      <c r="Q2" s="54"/>
      <c r="AC2" s="54"/>
      <c r="AJ2" s="54"/>
      <c r="AR2" s="54"/>
    </row>
    <row r="3" spans="2:53">
      <c r="Q3" s="54"/>
      <c r="T3" s="53" t="s">
        <v>55</v>
      </c>
      <c r="AF3" s="53" t="s">
        <v>55</v>
      </c>
      <c r="AJ3" s="54"/>
      <c r="AL3" s="53" t="s">
        <v>58</v>
      </c>
      <c r="AM3" t="s">
        <v>59</v>
      </c>
      <c r="AR3" s="54"/>
      <c r="AU3" s="53" t="s">
        <v>55</v>
      </c>
    </row>
    <row r="4" spans="2:53">
      <c r="C4" s="53" t="s">
        <v>55</v>
      </c>
      <c r="J4" s="36"/>
      <c r="K4" s="36"/>
      <c r="L4" s="36"/>
      <c r="Q4" s="54"/>
      <c r="T4" t="s">
        <v>27</v>
      </c>
      <c r="U4" t="s">
        <v>54</v>
      </c>
      <c r="AF4" t="s">
        <v>27</v>
      </c>
      <c r="AG4" t="s">
        <v>54</v>
      </c>
      <c r="AJ4" s="54"/>
      <c r="AL4" s="39" t="s">
        <v>27</v>
      </c>
      <c r="AM4" s="40">
        <v>0</v>
      </c>
      <c r="AR4" s="54"/>
      <c r="AU4" t="s">
        <v>60</v>
      </c>
      <c r="AV4" t="s">
        <v>62</v>
      </c>
      <c r="AW4" t="s">
        <v>61</v>
      </c>
      <c r="AX4" t="s">
        <v>69</v>
      </c>
      <c r="AY4" t="s">
        <v>72</v>
      </c>
      <c r="AZ4" t="s">
        <v>71</v>
      </c>
      <c r="BA4" t="s">
        <v>54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71</v>
      </c>
      <c r="I5" t="s">
        <v>54</v>
      </c>
      <c r="J5" s="36"/>
      <c r="K5" s="36"/>
      <c r="L5" s="36"/>
      <c r="Q5" s="54"/>
      <c r="S5" t="s">
        <v>56</v>
      </c>
      <c r="T5" s="1">
        <v>0</v>
      </c>
      <c r="U5" s="1">
        <v>0</v>
      </c>
      <c r="AE5" t="s">
        <v>57</v>
      </c>
      <c r="AF5" s="1">
        <v>0</v>
      </c>
      <c r="AG5" s="1">
        <v>0</v>
      </c>
      <c r="AJ5" s="54"/>
      <c r="AL5" s="39" t="s">
        <v>54</v>
      </c>
      <c r="AM5" s="40">
        <v>0</v>
      </c>
      <c r="AR5" s="54"/>
      <c r="AT5" t="s">
        <v>64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0">
        <v>0</v>
      </c>
      <c r="J6" s="36"/>
      <c r="K6" s="36"/>
      <c r="L6" s="36"/>
      <c r="Q6" s="54"/>
      <c r="W6" s="39"/>
      <c r="X6" s="40"/>
      <c r="AC6" s="54"/>
      <c r="AJ6" s="54"/>
      <c r="AR6" s="54"/>
    </row>
    <row r="7" spans="2:53">
      <c r="E7" s="36"/>
      <c r="F7" s="36"/>
      <c r="G7" s="36"/>
      <c r="H7" s="36"/>
      <c r="I7" s="36"/>
      <c r="J7" s="36"/>
      <c r="K7" s="36"/>
      <c r="L7" s="36"/>
      <c r="Q7" s="54"/>
      <c r="W7" s="39"/>
      <c r="X7" s="40"/>
      <c r="AC7" s="54"/>
      <c r="AJ7" s="54"/>
      <c r="AR7" s="54"/>
    </row>
    <row r="8" spans="2:53">
      <c r="E8" s="36"/>
      <c r="F8" s="36"/>
      <c r="G8" s="36"/>
      <c r="H8" s="36"/>
      <c r="I8" s="36"/>
      <c r="J8" s="36"/>
      <c r="K8" s="36"/>
      <c r="L8" s="36"/>
      <c r="Q8" s="54"/>
      <c r="AC8" s="54"/>
      <c r="AJ8" s="54"/>
      <c r="AR8" s="54"/>
    </row>
    <row r="9" spans="2:53">
      <c r="E9" s="36"/>
      <c r="F9" s="36"/>
      <c r="G9" s="36"/>
      <c r="H9" s="36"/>
      <c r="I9" s="36"/>
      <c r="J9" s="36"/>
      <c r="K9" s="36"/>
      <c r="L9" s="36"/>
      <c r="Q9" s="54"/>
      <c r="AC9" s="54"/>
      <c r="AJ9" s="54"/>
      <c r="AR9" s="54"/>
    </row>
    <row r="10" spans="2:53">
      <c r="E10" s="36"/>
      <c r="F10" s="36"/>
      <c r="G10" s="36"/>
      <c r="H10" s="36"/>
      <c r="I10" s="36"/>
      <c r="J10" s="36"/>
      <c r="K10" s="36"/>
      <c r="L10" s="36"/>
      <c r="Q10" s="54"/>
      <c r="AC10" s="54"/>
      <c r="AJ10" s="54"/>
      <c r="AR10" s="54"/>
    </row>
    <row r="11" spans="2:53">
      <c r="E11" s="36"/>
      <c r="F11" s="36"/>
      <c r="G11" s="36"/>
      <c r="H11" s="36"/>
      <c r="I11" s="36"/>
      <c r="J11" s="36"/>
      <c r="K11" s="36"/>
      <c r="L11" s="36"/>
      <c r="Q11" s="54"/>
      <c r="AC11" s="54"/>
      <c r="AJ11" s="54"/>
      <c r="AR11" s="54"/>
    </row>
    <row r="12" spans="2:53">
      <c r="E12" s="36"/>
      <c r="F12" s="36"/>
      <c r="G12" s="36"/>
      <c r="H12" s="36"/>
      <c r="I12" s="36"/>
      <c r="J12" s="36"/>
      <c r="K12" s="36"/>
      <c r="L12" s="36"/>
      <c r="Q12" s="54"/>
      <c r="AC12" s="54"/>
      <c r="AJ12" s="54"/>
      <c r="AR12" s="54"/>
    </row>
    <row r="13" spans="2:53">
      <c r="E13" s="36"/>
      <c r="F13" s="36"/>
      <c r="G13" s="36"/>
      <c r="H13" s="36"/>
      <c r="I13" s="36"/>
      <c r="J13" s="36"/>
      <c r="K13" s="36"/>
      <c r="L13" s="36"/>
      <c r="Q13" s="54"/>
      <c r="AC13" s="54"/>
      <c r="AJ13" s="54"/>
      <c r="AR13" s="54"/>
    </row>
    <row r="14" spans="2:53">
      <c r="E14" s="36"/>
      <c r="F14" s="36"/>
      <c r="G14" s="36"/>
      <c r="H14" s="36"/>
      <c r="I14" s="36"/>
      <c r="J14" s="36"/>
      <c r="K14" s="36"/>
      <c r="L14" s="36"/>
      <c r="Q14" s="54"/>
      <c r="AC14" s="54"/>
      <c r="AJ14" s="54"/>
      <c r="AR14" s="54"/>
    </row>
    <row r="15" spans="2:53">
      <c r="E15" s="36"/>
      <c r="F15" s="36"/>
      <c r="G15" s="36"/>
      <c r="H15" s="36"/>
      <c r="I15" s="36"/>
      <c r="J15" s="36"/>
      <c r="K15" s="36"/>
      <c r="L15" s="36"/>
      <c r="Q15" s="54"/>
      <c r="AC15" s="54"/>
      <c r="AJ15" s="54"/>
      <c r="AR15" s="54"/>
    </row>
    <row r="16" spans="2:53">
      <c r="E16" s="36"/>
      <c r="F16" s="36"/>
      <c r="G16" s="36"/>
      <c r="H16" s="36"/>
      <c r="I16" s="36"/>
      <c r="J16" s="36"/>
      <c r="K16" s="36"/>
      <c r="L16" s="36"/>
      <c r="Q16" s="54"/>
      <c r="AC16" s="54"/>
      <c r="AJ16" s="54"/>
      <c r="AR16" s="54"/>
    </row>
    <row r="17" spans="5:44">
      <c r="E17" s="36"/>
      <c r="F17" s="36"/>
      <c r="G17" s="36"/>
      <c r="H17" s="36"/>
      <c r="I17" s="36"/>
      <c r="J17" s="36"/>
      <c r="K17" s="36"/>
      <c r="L17" s="36"/>
      <c r="Q17" s="54"/>
      <c r="AC17" s="54"/>
      <c r="AJ17" s="54"/>
      <c r="AR17" s="54"/>
    </row>
    <row r="18" spans="5:44">
      <c r="E18" s="36"/>
      <c r="F18" s="36"/>
      <c r="G18" s="36"/>
      <c r="H18" s="36"/>
      <c r="I18" s="36"/>
      <c r="J18" s="36"/>
      <c r="K18" s="36"/>
      <c r="L18" s="36"/>
      <c r="Q18" s="54"/>
      <c r="AC18" s="54"/>
      <c r="AJ18" s="54"/>
      <c r="AR18" s="54"/>
    </row>
    <row r="19" spans="5:44">
      <c r="E19" s="36"/>
      <c r="F19" s="36"/>
      <c r="G19" s="36"/>
      <c r="H19" s="36"/>
      <c r="I19" s="36"/>
      <c r="J19" s="36"/>
      <c r="K19" s="36"/>
      <c r="L19" s="36"/>
      <c r="Q19" s="54"/>
      <c r="AC19" s="54"/>
      <c r="AJ19" s="54"/>
      <c r="AR19" s="54"/>
    </row>
    <row r="20" spans="5:44">
      <c r="E20" s="36"/>
      <c r="F20" s="36"/>
      <c r="G20" s="36"/>
      <c r="H20" s="36"/>
      <c r="I20" s="36"/>
      <c r="J20" s="36"/>
      <c r="K20" s="36"/>
      <c r="L20" s="36"/>
      <c r="Q20" s="54"/>
      <c r="AC20" s="54"/>
      <c r="AJ20" s="54"/>
      <c r="AR20" s="54"/>
    </row>
    <row r="21" spans="5:44">
      <c r="E21" s="36"/>
      <c r="F21" s="36"/>
      <c r="G21" s="36"/>
      <c r="H21" s="36"/>
      <c r="I21" s="36"/>
      <c r="J21" s="36"/>
      <c r="K21" s="36"/>
      <c r="L21" s="36"/>
      <c r="Q21" s="54"/>
      <c r="AC21" s="54"/>
      <c r="AJ21" s="54"/>
      <c r="AR21" s="54"/>
    </row>
    <row r="22" spans="5:44">
      <c r="Q22" s="54"/>
      <c r="AC22" s="54"/>
      <c r="AJ22" s="54"/>
      <c r="AR22" s="54"/>
    </row>
    <row r="23" spans="5:44">
      <c r="Q23" s="54"/>
      <c r="AC23" s="54"/>
      <c r="AJ23" s="54"/>
      <c r="AR23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21"/>
  <sheetViews>
    <sheetView workbookViewId="0">
      <selection activeCell="D18" sqref="D18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1" t="s">
        <v>31</v>
      </c>
      <c r="C2" s="21" t="s">
        <v>26</v>
      </c>
      <c r="D2" s="21" t="s">
        <v>38</v>
      </c>
      <c r="F2" s="31" t="s">
        <v>7</v>
      </c>
      <c r="G2" s="31"/>
      <c r="I2" s="21" t="s">
        <v>6</v>
      </c>
      <c r="J2" s="21" t="s">
        <v>53</v>
      </c>
      <c r="L2" s="35" t="s">
        <v>31</v>
      </c>
      <c r="M2" s="126" t="s">
        <v>36</v>
      </c>
      <c r="N2" s="126"/>
    </row>
    <row r="3" spans="2:14" ht="18.75">
      <c r="B3" s="22">
        <v>0</v>
      </c>
      <c r="C3" s="23" t="s">
        <v>0</v>
      </c>
      <c r="D3" s="43">
        <f>ROUNDDOWN(SUM(Deposito!E6-Saque!H6-Emprestimo!K5+Movimentações!E7),2)</f>
        <v>0</v>
      </c>
      <c r="F3" s="23" t="s">
        <v>0</v>
      </c>
      <c r="G3" s="29" t="e">
        <f>G9*#REF!</f>
        <v>#REF!</v>
      </c>
      <c r="I3" s="16" t="s">
        <v>0</v>
      </c>
      <c r="J3" s="72">
        <v>0</v>
      </c>
      <c r="L3" s="12">
        <v>0</v>
      </c>
      <c r="M3" s="2" t="s">
        <v>0</v>
      </c>
      <c r="N3" s="10">
        <v>1</v>
      </c>
    </row>
    <row r="4" spans="2:14" ht="18.75">
      <c r="B4" s="22">
        <v>1</v>
      </c>
      <c r="C4" s="24" t="s">
        <v>1</v>
      </c>
      <c r="D4" s="43">
        <f>ROUNDDOWN(SUM(Deposito!F6-Saque!I6-Emprestimo!L5+Movimentações!F7),2)</f>
        <v>0</v>
      </c>
      <c r="F4" s="24" t="s">
        <v>1</v>
      </c>
      <c r="G4" s="29" t="e">
        <f>G9*#REF!</f>
        <v>#REF!</v>
      </c>
      <c r="I4" s="17" t="s">
        <v>1</v>
      </c>
      <c r="J4" s="72">
        <v>0</v>
      </c>
      <c r="L4" s="12">
        <v>1</v>
      </c>
      <c r="M4" s="3" t="s">
        <v>1</v>
      </c>
      <c r="N4" s="10">
        <v>5</v>
      </c>
    </row>
    <row r="5" spans="2:14" ht="18.75">
      <c r="B5" s="22">
        <v>0</v>
      </c>
      <c r="C5" s="25" t="s">
        <v>2</v>
      </c>
      <c r="D5" s="43">
        <f>ROUNDDOWN(SUM(Deposito!G6-Saque!J6-Emprestimo!M5+Movimentações!G7),2)</f>
        <v>0</v>
      </c>
      <c r="F5" s="25" t="s">
        <v>2</v>
      </c>
      <c r="G5" s="29">
        <f>G9*K1</f>
        <v>0</v>
      </c>
      <c r="I5" s="18" t="s">
        <v>2</v>
      </c>
      <c r="J5" s="72">
        <v>0</v>
      </c>
      <c r="L5" s="12">
        <v>2</v>
      </c>
      <c r="M5" s="4" t="s">
        <v>2</v>
      </c>
      <c r="N5" s="10">
        <v>2</v>
      </c>
    </row>
    <row r="6" spans="2:14" ht="18.75">
      <c r="B6" s="22">
        <v>3</v>
      </c>
      <c r="C6" s="26" t="s">
        <v>3</v>
      </c>
      <c r="D6" s="43">
        <f>ROUNDDOWN(SUM(Deposito!H6-Saque!K6-Emprestimo!N5+Movimentações!H7),2)</f>
        <v>0</v>
      </c>
      <c r="F6" s="26" t="s">
        <v>3</v>
      </c>
      <c r="G6" s="29" t="e">
        <f>G9*#REF!</f>
        <v>#REF!</v>
      </c>
      <c r="I6" s="19" t="s">
        <v>3</v>
      </c>
      <c r="J6" s="72">
        <v>0</v>
      </c>
      <c r="L6" s="12">
        <v>3</v>
      </c>
      <c r="M6" s="5" t="s">
        <v>3</v>
      </c>
      <c r="N6" s="10">
        <v>4</v>
      </c>
    </row>
    <row r="7" spans="2:14" ht="18.75">
      <c r="B7" s="34">
        <v>4</v>
      </c>
      <c r="C7" s="27" t="s">
        <v>4</v>
      </c>
      <c r="D7" s="43">
        <f>ROUNDDOWN(SUM(Deposito!I6-Saque!L6-Emprestimo!O5+Movimentações!I7),2)</f>
        <v>0</v>
      </c>
      <c r="F7" s="27" t="s">
        <v>4</v>
      </c>
      <c r="G7" s="29">
        <f>G9*K3</f>
        <v>0</v>
      </c>
      <c r="I7" s="20" t="s">
        <v>4</v>
      </c>
      <c r="J7" s="72">
        <v>0</v>
      </c>
      <c r="L7" s="12">
        <v>4</v>
      </c>
      <c r="M7" s="6" t="s">
        <v>4</v>
      </c>
      <c r="N7" s="10">
        <v>3</v>
      </c>
    </row>
    <row r="8" spans="2:14">
      <c r="B8" s="32"/>
      <c r="C8" s="33" t="s">
        <v>9</v>
      </c>
      <c r="D8" s="43">
        <f>ROUNDDOWN(SUM(D3:D7),2)</f>
        <v>0</v>
      </c>
      <c r="F8" s="28" t="s">
        <v>5</v>
      </c>
      <c r="G8" s="30" t="e">
        <f>SUM(#REF!-I14-K26)</f>
        <v>#REF!</v>
      </c>
      <c r="I8" s="46" t="s">
        <v>9</v>
      </c>
      <c r="J8" s="72">
        <f>SUM(J3:J7)</f>
        <v>0</v>
      </c>
    </row>
    <row r="9" spans="2:14">
      <c r="B9" s="44"/>
      <c r="C9" s="65" t="s">
        <v>71</v>
      </c>
      <c r="D9" s="45">
        <v>0</v>
      </c>
    </row>
    <row r="10" spans="2:14" ht="18.75">
      <c r="B10" s="63"/>
      <c r="C10" s="67" t="s">
        <v>69</v>
      </c>
      <c r="D10" s="45">
        <v>0</v>
      </c>
      <c r="L10" s="35" t="s">
        <v>31</v>
      </c>
      <c r="M10" s="126" t="s">
        <v>37</v>
      </c>
      <c r="N10" s="126"/>
    </row>
    <row r="11" spans="2:14" ht="18.75">
      <c r="B11" s="63"/>
      <c r="C11" s="66" t="s">
        <v>70</v>
      </c>
      <c r="D11" s="64">
        <v>0</v>
      </c>
      <c r="F11" s="21" t="s">
        <v>13</v>
      </c>
      <c r="G11" s="21" t="s">
        <v>63</v>
      </c>
      <c r="I11" s="28" t="s">
        <v>73</v>
      </c>
      <c r="J11" s="69"/>
      <c r="L11" s="12">
        <v>0</v>
      </c>
      <c r="M11" s="2" t="s">
        <v>0</v>
      </c>
      <c r="N11" s="10">
        <v>2</v>
      </c>
    </row>
    <row r="12" spans="2:14" ht="18.75">
      <c r="F12" s="56" t="s">
        <v>60</v>
      </c>
      <c r="G12" s="59">
        <f>ROUNDDOWN(D8+D9 + SUM(Parcelamento[Valor Restante]) - SUM(Parcelamento[Valor da Parcela]),2)</f>
        <v>0</v>
      </c>
      <c r="I12" s="28" t="s">
        <v>74</v>
      </c>
      <c r="J12" s="69"/>
      <c r="L12" s="12">
        <v>1</v>
      </c>
      <c r="M12" s="3" t="s">
        <v>1</v>
      </c>
      <c r="N12" s="10">
        <v>5</v>
      </c>
    </row>
    <row r="13" spans="2:14" ht="18.75">
      <c r="D13" s="70"/>
      <c r="F13" s="56" t="s">
        <v>61</v>
      </c>
      <c r="G13" s="59">
        <f>ROUNDDOWN(D8,2)</f>
        <v>0</v>
      </c>
      <c r="I13" s="68"/>
      <c r="L13" s="12">
        <v>2</v>
      </c>
      <c r="M13" s="4" t="s">
        <v>2</v>
      </c>
      <c r="N13" s="10">
        <v>1</v>
      </c>
    </row>
    <row r="14" spans="2:14" ht="18.75">
      <c r="F14" s="56" t="s">
        <v>62</v>
      </c>
      <c r="G14" s="59">
        <f>ROUNDDOWN(G13+SUM(Devedores[Divida Ativa]),2)</f>
        <v>0</v>
      </c>
      <c r="L14" s="12">
        <v>3</v>
      </c>
      <c r="M14" s="5" t="s">
        <v>3</v>
      </c>
      <c r="N14" s="10">
        <v>4</v>
      </c>
    </row>
    <row r="15" spans="2:14" ht="18.75">
      <c r="D15" s="71"/>
      <c r="F15" s="57" t="s">
        <v>71</v>
      </c>
      <c r="G15" s="58">
        <f>ROUNDDOWN(D9,2)</f>
        <v>0</v>
      </c>
      <c r="L15" s="12">
        <v>4</v>
      </c>
      <c r="M15" s="6" t="s">
        <v>4</v>
      </c>
      <c r="N15" s="10">
        <v>3</v>
      </c>
    </row>
    <row r="16" spans="2:14">
      <c r="D16" s="71"/>
      <c r="F16" s="57" t="s">
        <v>69</v>
      </c>
      <c r="G16" s="58">
        <f>ROUNDDOWN(D10,2)</f>
        <v>0</v>
      </c>
    </row>
    <row r="17" spans="4:7">
      <c r="D17" s="71"/>
      <c r="F17" s="57" t="s">
        <v>72</v>
      </c>
      <c r="G17" s="58">
        <f>ROUNDDOWN(D11,2)</f>
        <v>0</v>
      </c>
    </row>
    <row r="18" spans="4:7">
      <c r="D18" s="71"/>
      <c r="E18" s="55"/>
    </row>
    <row r="19" spans="4:7">
      <c r="D19" s="71"/>
      <c r="E19" s="55"/>
    </row>
    <row r="20" spans="4:7">
      <c r="D20" s="71"/>
    </row>
    <row r="21" spans="4:7">
      <c r="D21" s="71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0"/>
  <sheetViews>
    <sheetView zoomScale="70" zoomScaleNormal="70" workbookViewId="0">
      <selection activeCell="D12" sqref="D12"/>
    </sheetView>
  </sheetViews>
  <sheetFormatPr defaultRowHeight="15"/>
  <cols>
    <col min="2" max="2" width="15.85546875" bestFit="1" customWidth="1"/>
    <col min="3" max="3" width="19.28515625" bestFit="1" customWidth="1"/>
    <col min="4" max="4" width="24" bestFit="1" customWidth="1"/>
    <col min="5" max="5" width="34.42578125" bestFit="1" customWidth="1"/>
    <col min="6" max="6" width="45.7109375" bestFit="1" customWidth="1"/>
    <col min="7" max="7" width="45.28515625" bestFit="1" customWidth="1"/>
    <col min="8" max="8" width="18.7109375" bestFit="1" customWidth="1"/>
    <col min="9" max="9" width="20" bestFit="1" customWidth="1"/>
    <col min="10" max="10" width="32.85546875" bestFit="1" customWidth="1"/>
    <col min="13" max="13" width="28.140625" bestFit="1" customWidth="1"/>
    <col min="14" max="14" width="12.28515625" customWidth="1"/>
  </cols>
  <sheetData>
    <row r="2" spans="2:10" ht="26.25">
      <c r="B2" s="129" t="s">
        <v>14</v>
      </c>
      <c r="C2" s="130"/>
      <c r="D2" s="130"/>
      <c r="E2" s="130"/>
      <c r="F2" s="130"/>
      <c r="G2" s="130"/>
      <c r="H2" s="130"/>
      <c r="I2" s="130"/>
      <c r="J2" s="131"/>
    </row>
    <row r="3" spans="2:10" ht="23.25">
      <c r="B3" s="132" t="s">
        <v>28</v>
      </c>
      <c r="C3" s="133"/>
      <c r="D3" s="133"/>
      <c r="E3" s="133"/>
      <c r="F3" s="133"/>
      <c r="G3" s="133"/>
      <c r="H3" s="133"/>
      <c r="I3" s="133"/>
      <c r="J3" s="134"/>
    </row>
    <row r="4" spans="2:10" ht="21">
      <c r="B4" s="42" t="s">
        <v>39</v>
      </c>
      <c r="C4" s="42" t="s">
        <v>40</v>
      </c>
      <c r="D4" s="135"/>
      <c r="E4" s="127" t="s">
        <v>29</v>
      </c>
      <c r="F4" s="128"/>
      <c r="G4" s="128"/>
      <c r="H4" s="128"/>
      <c r="I4" s="128"/>
      <c r="J4" s="128"/>
    </row>
    <row r="5" spans="2:10" ht="21" customHeight="1">
      <c r="B5" s="37">
        <f ca="1">C5</f>
        <v>44969</v>
      </c>
      <c r="C5" s="38">
        <f ca="1">TODAY()</f>
        <v>44969</v>
      </c>
      <c r="D5" s="136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37"/>
      <c r="C6" s="138"/>
      <c r="D6" s="139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26.25">
      <c r="B7" s="73" t="s">
        <v>8</v>
      </c>
      <c r="C7" s="74" t="s">
        <v>11</v>
      </c>
      <c r="D7" s="75" t="s">
        <v>12</v>
      </c>
      <c r="E7" s="76" t="s">
        <v>0</v>
      </c>
      <c r="F7" s="77" t="s">
        <v>1</v>
      </c>
      <c r="G7" s="78" t="s">
        <v>2</v>
      </c>
      <c r="H7" s="79" t="s">
        <v>3</v>
      </c>
      <c r="I7" s="80" t="s">
        <v>4</v>
      </c>
      <c r="J7" s="81" t="s">
        <v>10</v>
      </c>
    </row>
    <row r="8" spans="2:10" ht="26.25">
      <c r="B8" s="107" t="s">
        <v>27</v>
      </c>
      <c r="C8" s="106" t="s">
        <v>27</v>
      </c>
      <c r="D8" s="109" t="s">
        <v>27</v>
      </c>
      <c r="E8" s="106" t="s">
        <v>27</v>
      </c>
      <c r="F8" s="106" t="s">
        <v>27</v>
      </c>
      <c r="G8" s="106" t="s">
        <v>27</v>
      </c>
      <c r="H8" s="106" t="s">
        <v>27</v>
      </c>
      <c r="I8" s="106" t="s">
        <v>27</v>
      </c>
      <c r="J8" s="106" t="s">
        <v>27</v>
      </c>
    </row>
    <row r="20" spans="13:14">
      <c r="M20" s="36"/>
      <c r="N20" s="36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D8" sqref="D8"/>
    </sheetView>
  </sheetViews>
  <sheetFormatPr defaultRowHeight="15"/>
  <cols>
    <col min="1" max="1" width="8.7109375" customWidth="1"/>
    <col min="2" max="2" width="26.7109375" bestFit="1" customWidth="1"/>
    <col min="3" max="3" width="16.85546875" bestFit="1" customWidth="1"/>
    <col min="4" max="4" width="24.28515625" bestFit="1" customWidth="1"/>
    <col min="5" max="5" width="32.85546875" bestFit="1" customWidth="1"/>
    <col min="6" max="6" width="15.28515625" bestFit="1" customWidth="1"/>
    <col min="7" max="7" width="18.140625" bestFit="1" customWidth="1"/>
    <col min="8" max="8" width="34.5703125" bestFit="1" customWidth="1"/>
    <col min="9" max="9" width="45.85546875" bestFit="1" customWidth="1"/>
    <col min="10" max="10" width="45.42578125" bestFit="1" customWidth="1"/>
    <col min="11" max="11" width="18.7109375" bestFit="1" customWidth="1"/>
    <col min="12" max="12" width="20" bestFit="1" customWidth="1"/>
    <col min="13" max="13" width="27.28515625" bestFit="1" customWidth="1"/>
    <col min="16" max="16" width="6.28515625" bestFit="1" customWidth="1"/>
    <col min="18" max="18" width="24.5703125" bestFit="1" customWidth="1"/>
  </cols>
  <sheetData>
    <row r="2" spans="2:18" ht="31.5">
      <c r="B2" s="143" t="s">
        <v>14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  <c r="P2" s="144" t="s">
        <v>30</v>
      </c>
      <c r="Q2" s="144"/>
      <c r="R2" s="144"/>
    </row>
    <row r="3" spans="2:18" ht="23.25">
      <c r="B3" s="133" t="s">
        <v>23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P3" s="9" t="s">
        <v>11</v>
      </c>
      <c r="Q3" s="145">
        <v>0</v>
      </c>
      <c r="R3" s="146"/>
    </row>
    <row r="4" spans="2:18" ht="21">
      <c r="B4" s="42" t="s">
        <v>39</v>
      </c>
      <c r="C4" s="42" t="s">
        <v>40</v>
      </c>
      <c r="D4" s="47"/>
      <c r="E4" s="47"/>
      <c r="F4" s="47"/>
      <c r="G4" s="47"/>
      <c r="H4" s="140" t="s">
        <v>19</v>
      </c>
      <c r="I4" s="141"/>
      <c r="J4" s="141"/>
      <c r="K4" s="141"/>
      <c r="L4" s="141"/>
      <c r="M4" s="142"/>
    </row>
    <row r="5" spans="2:18" ht="21" customHeight="1">
      <c r="B5" s="37">
        <f ca="1">C5</f>
        <v>44969</v>
      </c>
      <c r="C5" s="38">
        <f ca="1">TODAY()</f>
        <v>44969</v>
      </c>
      <c r="D5" s="48"/>
      <c r="E5" s="48"/>
      <c r="F5" s="48"/>
      <c r="G5" s="48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48"/>
      <c r="C6" s="48"/>
      <c r="D6" s="48"/>
      <c r="E6" s="48"/>
      <c r="F6" s="48"/>
      <c r="G6" s="48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26.25">
      <c r="B7" s="82" t="s">
        <v>24</v>
      </c>
      <c r="C7" s="83" t="s">
        <v>11</v>
      </c>
      <c r="D7" s="83" t="s">
        <v>12</v>
      </c>
      <c r="E7" s="83" t="s">
        <v>47</v>
      </c>
      <c r="F7" s="83" t="s">
        <v>13</v>
      </c>
      <c r="G7" s="83" t="s">
        <v>67</v>
      </c>
      <c r="H7" s="76" t="s">
        <v>0</v>
      </c>
      <c r="I7" s="77" t="s">
        <v>1</v>
      </c>
      <c r="J7" s="78" t="s">
        <v>2</v>
      </c>
      <c r="K7" s="79" t="s">
        <v>3</v>
      </c>
      <c r="L7" s="80" t="s">
        <v>4</v>
      </c>
      <c r="M7" s="81" t="s">
        <v>25</v>
      </c>
    </row>
    <row r="8" spans="2:18" ht="26.25">
      <c r="B8" s="107" t="s">
        <v>27</v>
      </c>
      <c r="C8" s="108" t="s">
        <v>27</v>
      </c>
      <c r="D8" s="109" t="s">
        <v>27</v>
      </c>
      <c r="E8" s="105" t="s">
        <v>27</v>
      </c>
      <c r="F8" s="110" t="s">
        <v>27</v>
      </c>
      <c r="G8" s="110" t="s">
        <v>27</v>
      </c>
      <c r="H8" s="106" t="s">
        <v>27</v>
      </c>
      <c r="I8" s="106" t="s">
        <v>27</v>
      </c>
      <c r="J8" s="106" t="s">
        <v>27</v>
      </c>
      <c r="K8" s="106" t="s">
        <v>27</v>
      </c>
      <c r="L8" s="106" t="s">
        <v>27</v>
      </c>
      <c r="M8" s="106" t="s">
        <v>27</v>
      </c>
    </row>
    <row r="9" spans="2:18">
      <c r="C9" t="s">
        <v>32</v>
      </c>
      <c r="J9" s="13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8"/>
  <sheetViews>
    <sheetView zoomScale="55" zoomScaleNormal="55" workbookViewId="0">
      <selection activeCell="J7" sqref="J7"/>
    </sheetView>
  </sheetViews>
  <sheetFormatPr defaultRowHeight="15"/>
  <cols>
    <col min="2" max="2" width="23.5703125" bestFit="1" customWidth="1"/>
    <col min="3" max="3" width="30.28515625" bestFit="1" customWidth="1"/>
    <col min="4" max="4" width="37.85546875" bestFit="1" customWidth="1"/>
    <col min="5" max="5" width="49.42578125" bestFit="1" customWidth="1"/>
    <col min="6" max="6" width="44.28515625" bestFit="1" customWidth="1"/>
    <col min="7" max="7" width="33.85546875" bestFit="1" customWidth="1"/>
    <col min="8" max="8" width="17" bestFit="1" customWidth="1"/>
    <col min="9" max="9" width="19.5703125" bestFit="1" customWidth="1"/>
    <col min="10" max="10" width="25.28515625" bestFit="1" customWidth="1"/>
    <col min="11" max="11" width="38.28515625" bestFit="1" customWidth="1"/>
    <col min="12" max="12" width="49.42578125" bestFit="1" customWidth="1"/>
    <col min="13" max="13" width="49" bestFit="1" customWidth="1"/>
    <col min="14" max="14" width="22.7109375" bestFit="1" customWidth="1"/>
    <col min="15" max="15" width="24.28515625" bestFit="1" customWidth="1"/>
    <col min="16" max="16" width="41.42578125" bestFit="1" customWidth="1"/>
    <col min="17" max="17" width="37.85546875" bestFit="1" customWidth="1"/>
    <col min="18" max="18" width="45.5703125" bestFit="1" customWidth="1"/>
    <col min="20" max="20" width="7.42578125" bestFit="1" customWidth="1"/>
    <col min="21" max="21" width="19.85546875" bestFit="1" customWidth="1"/>
    <col min="22" max="22" width="29.28515625" bestFit="1" customWidth="1"/>
    <col min="23" max="23" width="36.28515625" bestFit="1" customWidth="1"/>
    <col min="24" max="24" width="8.7109375" customWidth="1"/>
    <col min="25" max="25" width="28.140625" bestFit="1" customWidth="1"/>
  </cols>
  <sheetData>
    <row r="2" spans="2:23" ht="31.5">
      <c r="B2" s="148" t="s">
        <v>14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5"/>
    </row>
    <row r="3" spans="2:23" ht="23.25">
      <c r="B3" s="147" t="s">
        <v>22</v>
      </c>
      <c r="C3" s="147"/>
      <c r="D3" s="147"/>
      <c r="E3" s="147"/>
      <c r="F3" s="147"/>
      <c r="G3" s="147"/>
      <c r="H3" s="147"/>
      <c r="I3" s="147"/>
      <c r="J3" s="147"/>
      <c r="K3" s="133" t="s">
        <v>19</v>
      </c>
      <c r="L3" s="133"/>
      <c r="M3" s="133"/>
      <c r="N3" s="133"/>
      <c r="O3" s="133"/>
      <c r="P3" s="133"/>
      <c r="Q3" s="133" t="s">
        <v>35</v>
      </c>
      <c r="R3" s="133"/>
    </row>
    <row r="4" spans="2:23" ht="21">
      <c r="B4" s="42" t="s">
        <v>39</v>
      </c>
      <c r="C4" s="42" t="s">
        <v>40</v>
      </c>
      <c r="D4" s="47"/>
      <c r="E4" s="47"/>
      <c r="F4" s="47"/>
      <c r="G4" s="47"/>
      <c r="H4" s="47"/>
      <c r="I4" s="47"/>
      <c r="J4" s="41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14"/>
      <c r="R4" s="14"/>
    </row>
    <row r="5" spans="2:23" ht="21">
      <c r="B5" s="37">
        <f ca="1">C5</f>
        <v>44969</v>
      </c>
      <c r="C5" s="38">
        <f ca="1">TODAY()</f>
        <v>44969</v>
      </c>
      <c r="D5" s="49"/>
      <c r="E5" s="49"/>
      <c r="F5" s="49"/>
      <c r="G5" s="49"/>
      <c r="H5" s="49"/>
      <c r="I5" s="49"/>
      <c r="J5" s="50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47"/>
      <c r="R5" s="47"/>
    </row>
    <row r="6" spans="2:23" ht="26.25">
      <c r="B6" s="82" t="s">
        <v>17</v>
      </c>
      <c r="C6" s="83" t="s">
        <v>21</v>
      </c>
      <c r="D6" s="83" t="s">
        <v>18</v>
      </c>
      <c r="E6" s="83" t="s">
        <v>16</v>
      </c>
      <c r="F6" s="83" t="s">
        <v>33</v>
      </c>
      <c r="G6" s="83" t="s">
        <v>47</v>
      </c>
      <c r="H6" s="83" t="s">
        <v>13</v>
      </c>
      <c r="I6" s="83" t="s">
        <v>67</v>
      </c>
      <c r="J6" s="83" t="s">
        <v>12</v>
      </c>
      <c r="K6" s="85" t="s">
        <v>0</v>
      </c>
      <c r="L6" s="86" t="s">
        <v>1</v>
      </c>
      <c r="M6" s="87" t="s">
        <v>2</v>
      </c>
      <c r="N6" s="88" t="s">
        <v>3</v>
      </c>
      <c r="O6" s="89" t="s">
        <v>4</v>
      </c>
      <c r="P6" s="90" t="s">
        <v>20</v>
      </c>
      <c r="Q6" s="91" t="s">
        <v>15</v>
      </c>
      <c r="R6" s="92" t="s">
        <v>34</v>
      </c>
      <c r="U6" s="149" t="s">
        <v>43</v>
      </c>
      <c r="V6" s="150"/>
      <c r="W6" s="151"/>
    </row>
    <row r="7" spans="2:23" ht="26.25">
      <c r="B7" s="120" t="s">
        <v>27</v>
      </c>
      <c r="C7" s="120" t="s">
        <v>27</v>
      </c>
      <c r="D7" s="121" t="s">
        <v>27</v>
      </c>
      <c r="E7" s="121" t="s">
        <v>27</v>
      </c>
      <c r="F7" s="122" t="s">
        <v>27</v>
      </c>
      <c r="G7" s="123" t="s">
        <v>27</v>
      </c>
      <c r="H7" s="120" t="s">
        <v>27</v>
      </c>
      <c r="I7" s="120" t="s">
        <v>27</v>
      </c>
      <c r="J7" s="124" t="s">
        <v>27</v>
      </c>
      <c r="K7" s="122" t="s">
        <v>27</v>
      </c>
      <c r="L7" s="122" t="s">
        <v>27</v>
      </c>
      <c r="M7" s="122" t="s">
        <v>27</v>
      </c>
      <c r="N7" s="122" t="s">
        <v>27</v>
      </c>
      <c r="O7" s="122" t="s">
        <v>27</v>
      </c>
      <c r="P7" s="122" t="s">
        <v>27</v>
      </c>
      <c r="Q7" s="125" t="s">
        <v>27</v>
      </c>
      <c r="R7" s="122" t="s">
        <v>27</v>
      </c>
      <c r="U7" s="82" t="s">
        <v>44</v>
      </c>
      <c r="V7" s="83" t="s">
        <v>45</v>
      </c>
      <c r="W7" s="84" t="s">
        <v>46</v>
      </c>
    </row>
    <row r="8" spans="2:23" ht="26.25">
      <c r="F8" s="1"/>
      <c r="U8" s="114" t="s">
        <v>27</v>
      </c>
      <c r="V8" s="112" t="s">
        <v>27</v>
      </c>
      <c r="W8" s="112" t="s">
        <v>27</v>
      </c>
    </row>
  </sheetData>
  <sheetProtection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13" sqref="G13"/>
    </sheetView>
  </sheetViews>
  <sheetFormatPr defaultRowHeight="15"/>
  <cols>
    <col min="2" max="2" width="14.42578125" bestFit="1" customWidth="1"/>
    <col min="3" max="3" width="16.28515625" bestFit="1" customWidth="1"/>
    <col min="4" max="4" width="13.7109375" bestFit="1" customWidth="1"/>
    <col min="5" max="5" width="29.85546875" bestFit="1" customWidth="1"/>
    <col min="6" max="6" width="41.140625" bestFit="1" customWidth="1"/>
    <col min="7" max="7" width="40.42578125" bestFit="1" customWidth="1"/>
    <col min="8" max="8" width="14.28515625" bestFit="1" customWidth="1"/>
    <col min="9" max="9" width="16" bestFit="1" customWidth="1"/>
  </cols>
  <sheetData>
    <row r="3" spans="2:9" ht="26.25">
      <c r="B3" s="152" t="s">
        <v>14</v>
      </c>
      <c r="C3" s="153"/>
      <c r="D3" s="153"/>
      <c r="E3" s="153"/>
      <c r="F3" s="153"/>
      <c r="G3" s="153"/>
      <c r="H3" s="153"/>
      <c r="I3" s="153"/>
    </row>
    <row r="4" spans="2:9" ht="23.25">
      <c r="B4" s="147" t="s">
        <v>41</v>
      </c>
      <c r="C4" s="147"/>
      <c r="D4" s="147"/>
      <c r="E4" s="147"/>
      <c r="F4" s="147"/>
      <c r="G4" s="147"/>
      <c r="H4" s="147"/>
      <c r="I4" s="147"/>
    </row>
    <row r="5" spans="2:9" ht="21">
      <c r="B5" s="42" t="s">
        <v>39</v>
      </c>
      <c r="C5" s="42" t="s">
        <v>40</v>
      </c>
      <c r="D5" s="137"/>
      <c r="E5" s="127" t="s">
        <v>42</v>
      </c>
      <c r="F5" s="128"/>
      <c r="G5" s="128"/>
      <c r="H5" s="128"/>
      <c r="I5" s="128"/>
    </row>
    <row r="6" spans="2:9" ht="21">
      <c r="B6" s="37">
        <f ca="1">C6</f>
        <v>44969</v>
      </c>
      <c r="C6" s="38">
        <f ca="1">TODAY()</f>
        <v>44969</v>
      </c>
      <c r="D6" s="137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37"/>
      <c r="C7" s="138"/>
      <c r="D7" s="138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26.25">
      <c r="B8" s="73" t="s">
        <v>8</v>
      </c>
      <c r="C8" s="75" t="s">
        <v>11</v>
      </c>
      <c r="D8" s="75" t="s">
        <v>13</v>
      </c>
      <c r="E8" s="93" t="s">
        <v>0</v>
      </c>
      <c r="F8" s="94" t="s">
        <v>1</v>
      </c>
      <c r="G8" s="95" t="s">
        <v>2</v>
      </c>
      <c r="H8" s="96" t="s">
        <v>3</v>
      </c>
      <c r="I8" s="97" t="s">
        <v>4</v>
      </c>
    </row>
    <row r="9" spans="2:9" ht="26.25">
      <c r="B9" s="98" t="s">
        <v>27</v>
      </c>
      <c r="C9" s="99" t="s">
        <v>27</v>
      </c>
      <c r="D9" s="99" t="s">
        <v>27</v>
      </c>
      <c r="E9" s="99" t="s">
        <v>27</v>
      </c>
      <c r="F9" s="99" t="s">
        <v>27</v>
      </c>
      <c r="G9" s="99" t="s">
        <v>27</v>
      </c>
      <c r="H9" s="99" t="s">
        <v>27</v>
      </c>
      <c r="I9" s="99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zoomScale="85" zoomScaleNormal="85" workbookViewId="0">
      <selection activeCell="F21" sqref="F21"/>
    </sheetView>
  </sheetViews>
  <sheetFormatPr defaultRowHeight="15"/>
  <cols>
    <col min="2" max="2" width="33.85546875" bestFit="1" customWidth="1"/>
    <col min="3" max="3" width="16.28515625" bestFit="1" customWidth="1"/>
    <col min="4" max="4" width="22.7109375" bestFit="1" customWidth="1"/>
    <col min="5" max="5" width="13.7109375" bestFit="1" customWidth="1"/>
    <col min="6" max="6" width="20.7109375" bestFit="1" customWidth="1"/>
  </cols>
  <sheetData>
    <row r="3" spans="2:6" ht="31.5">
      <c r="B3" s="155" t="s">
        <v>14</v>
      </c>
      <c r="C3" s="155"/>
      <c r="D3" s="155"/>
      <c r="E3" s="155"/>
      <c r="F3" s="155"/>
    </row>
    <row r="4" spans="2:6" ht="23.25">
      <c r="B4" s="154" t="s">
        <v>35</v>
      </c>
      <c r="C4" s="154"/>
      <c r="D4" s="154"/>
      <c r="E4" s="154"/>
      <c r="F4" s="154"/>
    </row>
    <row r="5" spans="2:6" ht="21">
      <c r="B5" s="42" t="s">
        <v>39</v>
      </c>
      <c r="C5" s="42" t="s">
        <v>40</v>
      </c>
      <c r="D5" s="138"/>
      <c r="E5" s="138"/>
      <c r="F5" s="138"/>
    </row>
    <row r="6" spans="2:6" ht="21">
      <c r="B6" s="37">
        <f ca="1">C6</f>
        <v>44969</v>
      </c>
      <c r="C6" s="38">
        <f ca="1">TODAY()</f>
        <v>44969</v>
      </c>
      <c r="D6" s="138"/>
      <c r="E6" s="138"/>
      <c r="F6" s="138"/>
    </row>
    <row r="7" spans="2:6" ht="21">
      <c r="B7" s="48"/>
      <c r="C7" s="48"/>
      <c r="D7" s="138"/>
      <c r="E7" s="138"/>
      <c r="F7" s="138"/>
    </row>
    <row r="8" spans="2:6" ht="26.25">
      <c r="B8" s="100" t="s">
        <v>66</v>
      </c>
      <c r="C8" s="101" t="s">
        <v>11</v>
      </c>
      <c r="D8" s="101" t="s">
        <v>12</v>
      </c>
      <c r="E8" s="101" t="s">
        <v>13</v>
      </c>
      <c r="F8" s="101" t="s">
        <v>68</v>
      </c>
    </row>
    <row r="9" spans="2:6" ht="26.25">
      <c r="B9" s="111" t="s">
        <v>27</v>
      </c>
      <c r="C9" s="112" t="s">
        <v>27</v>
      </c>
      <c r="D9" s="113" t="s">
        <v>27</v>
      </c>
      <c r="E9" s="114" t="s">
        <v>27</v>
      </c>
      <c r="F9" s="11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zoomScale="70" zoomScaleNormal="70" workbookViewId="0">
      <selection activeCell="B6" sqref="B6:J6"/>
    </sheetView>
  </sheetViews>
  <sheetFormatPr defaultRowHeight="15"/>
  <cols>
    <col min="2" max="2" width="15.85546875" bestFit="1" customWidth="1"/>
    <col min="3" max="3" width="45.85546875" bestFit="1" customWidth="1"/>
    <col min="4" max="4" width="15.28515625" bestFit="1" customWidth="1"/>
    <col min="5" max="5" width="18.140625" bestFit="1" customWidth="1"/>
    <col min="6" max="6" width="32.85546875" bestFit="1" customWidth="1"/>
    <col min="7" max="7" width="32.140625" bestFit="1" customWidth="1"/>
    <col min="8" max="8" width="34.5703125" bestFit="1" customWidth="1"/>
    <col min="9" max="9" width="32.85546875" bestFit="1" customWidth="1"/>
    <col min="10" max="10" width="28.85546875" bestFit="1" customWidth="1"/>
  </cols>
  <sheetData>
    <row r="2" spans="2:10" ht="26.25">
      <c r="B2" s="156" t="s">
        <v>14</v>
      </c>
      <c r="C2" s="157"/>
      <c r="D2" s="157"/>
      <c r="E2" s="157"/>
      <c r="F2" s="157"/>
      <c r="G2" s="157"/>
      <c r="H2" s="157"/>
      <c r="I2" s="157"/>
      <c r="J2" s="157"/>
    </row>
    <row r="3" spans="2:10" ht="23.25">
      <c r="B3" s="158" t="s">
        <v>49</v>
      </c>
      <c r="C3" s="154"/>
      <c r="D3" s="154"/>
      <c r="E3" s="154"/>
      <c r="F3" s="154"/>
      <c r="G3" s="154"/>
      <c r="H3" s="154"/>
      <c r="I3" s="154"/>
      <c r="J3" s="154"/>
    </row>
    <row r="4" spans="2:10" ht="21">
      <c r="B4" s="51" t="s">
        <v>39</v>
      </c>
      <c r="C4" s="37">
        <f ca="1">E4</f>
        <v>44969</v>
      </c>
      <c r="D4" s="51" t="s">
        <v>40</v>
      </c>
      <c r="E4" s="38">
        <f ca="1">TODAY()</f>
        <v>44969</v>
      </c>
      <c r="F4" s="52"/>
      <c r="G4" s="52"/>
      <c r="H4" s="52"/>
      <c r="I4" s="52"/>
      <c r="J4" s="52"/>
    </row>
    <row r="5" spans="2:10" ht="26.25">
      <c r="B5" s="102" t="s">
        <v>8</v>
      </c>
      <c r="C5" s="75" t="s">
        <v>50</v>
      </c>
      <c r="D5" s="75" t="s">
        <v>13</v>
      </c>
      <c r="E5" s="75" t="s">
        <v>67</v>
      </c>
      <c r="F5" s="103" t="s">
        <v>47</v>
      </c>
      <c r="G5" s="75" t="s">
        <v>48</v>
      </c>
      <c r="H5" s="75" t="s">
        <v>51</v>
      </c>
      <c r="I5" s="104" t="s">
        <v>52</v>
      </c>
      <c r="J5" s="75" t="s">
        <v>21</v>
      </c>
    </row>
    <row r="6" spans="2:10" ht="26.25">
      <c r="B6" s="116" t="s">
        <v>27</v>
      </c>
      <c r="C6" s="117" t="s">
        <v>27</v>
      </c>
      <c r="D6" s="118" t="s">
        <v>27</v>
      </c>
      <c r="E6" s="118" t="s">
        <v>27</v>
      </c>
      <c r="F6" s="119" t="s">
        <v>27</v>
      </c>
      <c r="G6" s="119" t="s">
        <v>27</v>
      </c>
      <c r="H6" s="117" t="s">
        <v>27</v>
      </c>
      <c r="I6" s="117" t="s">
        <v>27</v>
      </c>
      <c r="J6" s="114" t="s">
        <v>27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2023-02-12T18:54:57Z</dcterms:modified>
</cp:coreProperties>
</file>