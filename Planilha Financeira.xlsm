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0" r:id="rId10"/>
    <pivotCache cacheId="1" r:id="rId11"/>
    <pivotCache cacheId="2" r:id="rId12"/>
    <pivotCache cacheId="3" r:id="rId13"/>
    <pivotCache cacheId="4" r:id="rId14"/>
  </pivotCaches>
</workbook>
</file>

<file path=xl/calcChain.xml><?xml version="1.0" encoding="utf-8"?>
<calcChain xmlns="http://schemas.openxmlformats.org/spreadsheetml/2006/main">
  <c r="J8" i="9"/>
  <c r="K6" i="6"/>
  <c r="J6"/>
  <c r="I6"/>
  <c r="H6"/>
  <c r="O5" i="5"/>
  <c r="N5"/>
  <c r="M5"/>
  <c r="L5"/>
  <c r="K5"/>
  <c r="P5" l="1"/>
  <c r="G15" i="9" l="1"/>
  <c r="G17"/>
  <c r="G16" l="1"/>
  <c r="I6" i="4" l="1"/>
  <c r="H6"/>
  <c r="G6"/>
  <c r="F6"/>
  <c r="E6"/>
  <c r="J6" l="1"/>
  <c r="I7" i="14"/>
  <c r="H7"/>
  <c r="G7"/>
  <c r="F7"/>
  <c r="E7"/>
  <c r="D5" i="9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M6" i="6"/>
  <c r="L6"/>
  <c r="D7" i="9" s="1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<sst xmlns="http://schemas.openxmlformats.org/spreadsheetml/2006/main" count="264" uniqueCount="75">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</sst>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indexed="8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indexed="8"/>
      <name val="Calibri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9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9" fillId="10" borderId="15" xfId="0" applyFont="1" applyFill="1" applyBorder="1" applyAlignment="1">
      <alignment horizontal="center" vertical="center"/>
    </xf>
    <xf numFmtId="0" fontId="19" fillId="10" borderId="5" xfId="0" applyFont="1" applyFill="1" applyBorder="1" applyAlignment="1">
      <alignment horizontal="center" vertical="center"/>
    </xf>
    <xf numFmtId="0" fontId="19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9" fillId="10" borderId="5" xfId="1" applyFont="1" applyFill="1" applyBorder="1" applyAlignment="1">
      <alignment horizontal="center" vertical="center"/>
    </xf>
    <xf numFmtId="44" fontId="19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14" fontId="6" fillId="16" borderId="11" xfId="0" applyNumberFormat="1" applyFont="1" applyFill="1" applyBorder="1" applyAlignment="1">
      <alignment horizontal="center" vertical="center"/>
    </xf>
    <xf numFmtId="165" fontId="6" fillId="16" borderId="11" xfId="0" applyNumberFormat="1" applyFont="1" applyFill="1" applyBorder="1" applyAlignment="1">
      <alignment horizontal="center" vertical="center"/>
    </xf>
    <xf numFmtId="0" fontId="19" fillId="10" borderId="13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49" fontId="18" fillId="19" borderId="0" xfId="0" applyNumberFormat="1" applyFont="1" applyFill="1" applyBorder="1" applyAlignment="1" applyProtection="1">
      <alignment horizontal="center" vertical="center"/>
    </xf>
    <xf numFmtId="14" fontId="18" fillId="19" borderId="0" xfId="0" applyNumberFormat="1" applyFont="1" applyFill="1" applyBorder="1" applyAlignment="1" applyProtection="1">
      <alignment horizontal="center" vertical="center"/>
    </xf>
    <xf numFmtId="165" fontId="18" fillId="19" borderId="0" xfId="1" applyNumberFormat="1" applyFont="1" applyFill="1" applyBorder="1" applyAlignment="1" applyProtection="1">
      <alignment horizontal="center" vertical="center"/>
    </xf>
    <xf numFmtId="0" fontId="18" fillId="19" borderId="0" xfId="0" applyNumberFormat="1" applyFont="1" applyFill="1" applyBorder="1" applyAlignment="1" applyProtection="1">
      <alignment horizontal="center" vertical="center"/>
    </xf>
    <xf numFmtId="49" fontId="18" fillId="19" borderId="0" xfId="0" applyNumberFormat="1" applyFont="1" applyFill="1" applyBorder="1" applyAlignment="1" applyProtection="1">
      <alignment horizontal="left" vertical="center"/>
    </xf>
    <xf numFmtId="14" fontId="18" fillId="19" borderId="0" xfId="1" applyNumberFormat="1" applyFont="1" applyFill="1" applyBorder="1" applyAlignment="1" applyProtection="1">
      <alignment horizontal="center" vertical="center"/>
    </xf>
    <xf numFmtId="0" fontId="17" fillId="19" borderId="0" xfId="0" applyNumberFormat="1" applyFont="1" applyFill="1" applyBorder="1" applyAlignment="1" applyProtection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4" fontId="17" fillId="19" borderId="0" xfId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49" fontId="17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>
      <alignment horizontal="center" vertical="center"/>
    </xf>
    <xf numFmtId="165" fontId="20" fillId="19" borderId="0" xfId="1" applyNumberFormat="1" applyFont="1" applyFill="1" applyBorder="1" applyAlignment="1">
      <alignment horizontal="center" vertical="center"/>
    </xf>
    <xf numFmtId="49" fontId="20" fillId="19" borderId="0" xfId="0" applyNumberFormat="1" applyFont="1" applyFill="1" applyBorder="1" applyAlignment="1">
      <alignment horizontal="center" vertical="center"/>
    </xf>
    <xf numFmtId="0" fontId="20" fillId="19" borderId="0" xfId="0" applyNumberFormat="1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19"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7006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15837952"/>
        <c:axId val="115856128"/>
      </c:barChart>
      <c:catAx>
        <c:axId val="115837952"/>
        <c:scaling>
          <c:orientation val="minMax"/>
        </c:scaling>
        <c:delete val="1"/>
        <c:axPos val="b"/>
        <c:majorTickMark val="none"/>
        <c:tickLblPos val="none"/>
        <c:crossAx val="115856128"/>
        <c:crosses val="autoZero"/>
        <c:auto val="1"/>
        <c:lblAlgn val="ctr"/>
        <c:lblOffset val="100"/>
      </c:catAx>
      <c:valAx>
        <c:axId val="11585612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15837952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74752099557979346"/>
          <c:h val="0.14124249003688338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183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662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501" footer="0.314960620000015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134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17465856"/>
        <c:axId val="117467392"/>
      </c:barChart>
      <c:catAx>
        <c:axId val="117465856"/>
        <c:scaling>
          <c:orientation val="minMax"/>
        </c:scaling>
        <c:delete val="1"/>
        <c:axPos val="b"/>
        <c:majorTickMark val="none"/>
        <c:tickLblPos val="none"/>
        <c:crossAx val="117467392"/>
        <c:crosses val="autoZero"/>
        <c:auto val="1"/>
        <c:lblAlgn val="ctr"/>
        <c:lblOffset val="100"/>
      </c:catAx>
      <c:valAx>
        <c:axId val="11746739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746585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4" footer="0.314960620000013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472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17776384"/>
        <c:axId val="117777920"/>
      </c:barChart>
      <c:catAx>
        <c:axId val="117776384"/>
        <c:scaling>
          <c:orientation val="minMax"/>
        </c:scaling>
        <c:delete val="1"/>
        <c:axPos val="b"/>
        <c:tickLblPos val="none"/>
        <c:crossAx val="117777920"/>
        <c:crosses val="autoZero"/>
        <c:auto val="1"/>
        <c:lblAlgn val="ctr"/>
        <c:lblOffset val="100"/>
      </c:catAx>
      <c:valAx>
        <c:axId val="11777792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7776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885"/>
          <c:h val="0.33514826824616067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074" footer="0.3149606200000107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356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803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17878784"/>
        <c:axId val="117880320"/>
      </c:barChart>
      <c:catAx>
        <c:axId val="117878784"/>
        <c:scaling>
          <c:orientation val="minMax"/>
        </c:scaling>
        <c:delete val="1"/>
        <c:axPos val="b"/>
        <c:tickLblPos val="none"/>
        <c:crossAx val="117880320"/>
        <c:crosses val="autoZero"/>
        <c:auto val="1"/>
        <c:lblAlgn val="ctr"/>
        <c:lblOffset val="100"/>
      </c:catAx>
      <c:valAx>
        <c:axId val="11788032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78787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837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35" footer="0.3149606200000113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41744000"/>
        <c:axId val="141745536"/>
      </c:barChart>
      <c:catAx>
        <c:axId val="141744000"/>
        <c:scaling>
          <c:orientation val="minMax"/>
        </c:scaling>
        <c:axPos val="b"/>
        <c:majorTickMark val="none"/>
        <c:tickLblPos val="nextTo"/>
        <c:crossAx val="141745536"/>
        <c:crosses val="autoZero"/>
        <c:auto val="1"/>
        <c:lblAlgn val="ctr"/>
        <c:lblOffset val="100"/>
      </c:catAx>
      <c:valAx>
        <c:axId val="1417455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41744000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1313" footer="0.3149606200000131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41796480"/>
        <c:axId val="141798016"/>
      </c:barChart>
      <c:catAx>
        <c:axId val="141796480"/>
        <c:scaling>
          <c:orientation val="minMax"/>
        </c:scaling>
        <c:delete val="1"/>
        <c:axPos val="b"/>
        <c:majorTickMark val="none"/>
        <c:tickLblPos val="none"/>
        <c:crossAx val="141798016"/>
        <c:crosses val="autoZero"/>
        <c:auto val="1"/>
        <c:lblAlgn val="ctr"/>
        <c:lblOffset val="100"/>
      </c:catAx>
      <c:valAx>
        <c:axId val="14179801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41796480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07" footer="0.3149606200000130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41826688"/>
        <c:axId val="141836672"/>
      </c:lineChart>
      <c:catAx>
        <c:axId val="141826688"/>
        <c:scaling>
          <c:orientation val="minMax"/>
        </c:scaling>
        <c:axPos val="b"/>
        <c:tickLblPos val="nextTo"/>
        <c:crossAx val="141836672"/>
        <c:crosses val="autoZero"/>
        <c:auto val="1"/>
        <c:lblAlgn val="ctr"/>
        <c:lblOffset val="100"/>
      </c:catAx>
      <c:valAx>
        <c:axId val="141836672"/>
        <c:scaling>
          <c:orientation val="minMax"/>
        </c:scaling>
        <c:axPos val="l"/>
        <c:majorGridlines/>
        <c:numFmt formatCode="General" sourceLinked="1"/>
        <c:tickLblPos val="nextTo"/>
        <c:crossAx val="141826688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307" footer="0.3149606200000130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883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41904896"/>
        <c:axId val="141910784"/>
      </c:barChart>
      <c:catAx>
        <c:axId val="141904896"/>
        <c:scaling>
          <c:orientation val="minMax"/>
        </c:scaling>
        <c:delete val="1"/>
        <c:axPos val="b"/>
        <c:tickLblPos val="none"/>
        <c:crossAx val="141910784"/>
        <c:crosses val="autoZero"/>
        <c:auto val="1"/>
        <c:lblAlgn val="ctr"/>
        <c:lblOffset val="100"/>
      </c:catAx>
      <c:valAx>
        <c:axId val="14191078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419048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133"/>
          <c:y val="0.24586515918774829"/>
          <c:w val="0.26636696142438326"/>
          <c:h val="0.47250959916966007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113" footer="0.3149606200000111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461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42000512"/>
        <c:axId val="142002048"/>
      </c:barChart>
      <c:catAx>
        <c:axId val="142000512"/>
        <c:scaling>
          <c:orientation val="minMax"/>
        </c:scaling>
        <c:delete val="1"/>
        <c:axPos val="b"/>
        <c:tickLblPos val="none"/>
        <c:crossAx val="142002048"/>
        <c:crosses val="autoZero"/>
        <c:auto val="1"/>
        <c:lblAlgn val="ctr"/>
        <c:lblOffset val="100"/>
      </c:catAx>
      <c:valAx>
        <c:axId val="14200204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4200051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251"/>
          <c:w val="0.23733514787757548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057" footer="0.31496062000001057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67.584520254626" createdVersion="3" refreshedVersion="3" minRefreshableVersion="3" recordCount="1">
  <cacheSource type="worksheet">
    <worksheetSource name="Devedores"/>
  </cacheSource>
  <cacheFields count="3">
    <cacheField name="Nome" numFmtId="0">
      <sharedItems containsBlank="1" count="39">
        <s v="-"/>
        <m u="1"/>
        <s v="Z" u="1"/>
        <s v="S" u="1"/>
        <s v="Aurelio" u="1"/>
        <s v="Gabriel Darze" u="1"/>
        <s v="Marcelo" u="1"/>
        <s v="Q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Nome" u="1"/>
        <s v="Wellington Junior" u="1"/>
        <s v="Rodrigo Peixoto" u="1"/>
        <s v="Wellington Junio" u="1"/>
        <s v="Jonathan" u="1"/>
        <s v="R" u="1"/>
        <s v="Maria Amelia" u="1"/>
        <s v="W" u="1"/>
        <s v="Ana Beatriz" u="1"/>
        <s v="P" u="1"/>
        <s v="Naiana Sampaio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67.584520370372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49">
      <sharedItems count="3">
        <s v="-"/>
        <s v="Saque" u="1"/>
        <s v="Emprestimo" u="1"/>
      </sharedItems>
    </cacheField>
    <cacheField name="Banco" numFmtId="49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67.584520370372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11-10T00:00:00" count="9">
        <s v="-"/>
        <d v="2022-10-25T00:00:00" u="1"/>
        <d v="2022-11-09T00:00:00" u="1"/>
        <d v="2022-06-01T00:00:00" u="1"/>
        <d v="2022-11-07T00:00:00" u="1"/>
        <d v="2022-11-05T00:00:00" u="1"/>
        <d v="2022-01-10T00:00:00" u="1"/>
        <d v="2022-01-15T00:00:00" u="1"/>
        <d v="2022-06-21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67.584520486111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67.584520486111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vedoresDinamica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40">
        <item x="0"/>
        <item m="1" x="8"/>
        <item m="1" x="23"/>
        <item m="1" x="35"/>
        <item m="1" x="15"/>
        <item m="1" x="38"/>
        <item m="1" x="18"/>
        <item m="1" x="28"/>
        <item m="1" x="20"/>
        <item m="1" x="1"/>
        <item m="1" x="6"/>
        <item m="1" x="29"/>
        <item m="1" x="19"/>
        <item m="1" x="33"/>
        <item m="1" x="3"/>
        <item m="1" x="2"/>
        <item m="1" x="31"/>
        <item m="1" x="7"/>
        <item m="1" x="36"/>
        <item m="1" x="26"/>
        <item m="1" x="21"/>
        <item m="1" x="17"/>
        <item m="1" x="13"/>
        <item m="1" x="4"/>
        <item m="1" x="37"/>
        <item m="1" x="16"/>
        <item m="1" x="10"/>
        <item m="1" x="12"/>
        <item m="1" x="30"/>
        <item m="1" x="34"/>
        <item m="1" x="14"/>
        <item m="1" x="11"/>
        <item m="1" x="9"/>
        <item m="1" x="5"/>
        <item m="1" x="25"/>
        <item m="1" x="22"/>
        <item m="1" x="32"/>
        <item m="1" x="27"/>
        <item m="1" x="24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5">
      <pivotArea outline="0" collapsedLevelsAreSubtotals="1" fieldPosition="0"/>
    </format>
  </formats>
  <chartFormats count="7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quesDinamica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0">
        <item m="1" x="6"/>
        <item m="1" x="7"/>
        <item m="1" x="3"/>
        <item m="1" x="8"/>
        <item m="1" x="1"/>
        <item m="1" x="2"/>
        <item m="1" x="4"/>
        <item m="1" x="5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8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arcelamentosDinamica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6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GraficoFinancasDinamica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7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SaldosDinamica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8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4" tableBorderDxfId="113" totalsRowBorderDxfId="112">
  <autoFilter ref="B2:D11"/>
  <tableColumns count="3">
    <tableColumn id="1" name="Index" dataDxfId="111"/>
    <tableColumn id="2" name="Valores Totais Aplicados"/>
    <tableColumn id="3" name="Valores" dataDxfId="1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9" headerRowBorderDxfId="108" tableBorderDxfId="107" totalsRowBorderDxfId="106">
  <autoFilter ref="I2:J8"/>
  <tableColumns count="2">
    <tableColumn id="1" name="Procentagens da receita"/>
    <tableColumn id="2" name="Percentuais" dataDxfId="105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4" dataDxfId="102" headerRowBorderDxfId="103" tableBorderDxfId="101" totalsRowBorderDxfId="100">
  <autoFilter ref="F11:G17"/>
  <tableColumns count="2">
    <tableColumn id="1" name="Tipo" dataDxfId="99"/>
    <tableColumn id="2" name="Saldo" dataDxfId="98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7" dataDxfId="95" headerRowBorderDxfId="96" tableBorderDxfId="94" totalsRowBorderDxfId="93">
  <autoFilter ref="B7:J8"/>
  <sortState ref="B8:J33">
    <sortCondition descending="1" ref="B7:B33"/>
  </sortState>
  <tableColumns count="9">
    <tableColumn id="1" name="Data" dataDxfId="92"/>
    <tableColumn id="2" name="Valor" dataDxfId="91" dataCellStyle="Moeda"/>
    <tableColumn id="5" name="Descrição" dataDxfId="90"/>
    <tableColumn id="6" name="Gastos Pessoais" dataDxfId="89" dataCellStyle="Moeda"/>
    <tableColumn id="7" name="Aplicações Financeiras" dataDxfId="88" dataCellStyle="Moeda"/>
    <tableColumn id="8" name="Gastos Circunstanciais" dataDxfId="87" dataCellStyle="Moeda"/>
    <tableColumn id="9" name="Metas" dataDxfId="86" dataCellStyle="Moeda"/>
    <tableColumn id="10" name="Familia" dataDxfId="85" dataCellStyle="Moeda"/>
    <tableColumn id="11" name="Total Investido" dataDxfId="84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83" dataDxfId="81" headerRowBorderDxfId="82" tableBorderDxfId="80" totalsRowBorderDxfId="79">
  <autoFilter ref="B7:M8">
    <filterColumn colId="3"/>
    <filterColumn colId="4"/>
    <filterColumn colId="5"/>
  </autoFilter>
  <tableColumns count="12">
    <tableColumn id="1" name="Data Saque" dataDxfId="78"/>
    <tableColumn id="2" name="Valor" dataDxfId="77" dataCellStyle="Moeda"/>
    <tableColumn id="3" name="Descrição" dataDxfId="76"/>
    <tableColumn id="10" name="Parcelas Totais" dataDxfId="75"/>
    <tableColumn id="12" name="Tipo" dataDxfId="74"/>
    <tableColumn id="11" name="Banco" dataDxfId="73"/>
    <tableColumn id="4" name="Gastos Pessoais" dataDxfId="72" dataCellStyle="Moeda"/>
    <tableColumn id="5" name="Aplicações Financeiras" dataDxfId="71" dataCellStyle="Moeda"/>
    <tableColumn id="6" name="Gastos Circunstanciais" dataDxfId="70" dataCellStyle="Moeda"/>
    <tableColumn id="7" name="Metas" dataDxfId="69" dataCellStyle="Moeda"/>
    <tableColumn id="8" name="Familia" dataDxfId="68" dataCellStyle="Moeda"/>
    <tableColumn id="9" name="Total Saque" dataDxfId="67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66" dataDxfId="64" headerRowBorderDxfId="65" tableBorderDxfId="63" totalsRowBorderDxfId="62">
  <autoFilter ref="B6:R7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61"/>
    <tableColumn id="2" name="Responsável" dataDxfId="60"/>
    <tableColumn id="4" name="Data Emprestimo" dataDxfId="59"/>
    <tableColumn id="5" name="Data Devolução Prevista" dataDxfId="58"/>
    <tableColumn id="7" name="Valor do Emprestimo" dataDxfId="57" dataCellStyle="Moeda"/>
    <tableColumn id="8" name="Parcelas Totais" dataDxfId="56"/>
    <tableColumn id="16" name="Tipo" dataDxfId="55"/>
    <tableColumn id="17" name="Banco" dataDxfId="54"/>
    <tableColumn id="9" name="Descrição" dataDxfId="53"/>
    <tableColumn id="10" name="Gastos Pessoais" dataDxfId="52" dataCellStyle="Moeda"/>
    <tableColumn id="11" name="Aplicações Financeiras" dataDxfId="51" dataCellStyle="Moeda"/>
    <tableColumn id="12" name="Gastos Circunstanciais" dataDxfId="50" dataCellStyle="Moeda"/>
    <tableColumn id="13" name="Metas" dataDxfId="49" dataCellStyle="Moeda"/>
    <tableColumn id="14" name="Familia" dataDxfId="48" dataCellStyle="Moeda"/>
    <tableColumn id="15" name="Total Emprestimo" dataDxfId="47" dataCellStyle="Moeda"/>
    <tableColumn id="3" name="Data Devolução" dataDxfId="46" dataCellStyle="Moeda"/>
    <tableColumn id="6" name="Valor do Pagamento" dataDxfId="45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44" dataDxfId="42" headerRowBorderDxfId="43" tableBorderDxfId="41" totalsRowBorderDxfId="40">
  <autoFilter ref="U7:W8"/>
  <tableColumns count="3">
    <tableColumn id="1" name="Nome" dataDxfId="39"/>
    <tableColumn id="2" name="Divida Ativa" dataDxfId="38" dataCellStyle="Moeda"/>
    <tableColumn id="3" name="Divida Anistiada" dataDxfId="37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36" dataDxfId="34" headerRowBorderDxfId="35" tableBorderDxfId="33" totalsRowBorderDxfId="32">
  <autoFilter ref="B8:I9"/>
  <tableColumns count="8">
    <tableColumn id="1" name="Data" dataDxfId="31"/>
    <tableColumn id="2" name="Valor" dataDxfId="30"/>
    <tableColumn id="3" name="Tipo" dataDxfId="29"/>
    <tableColumn id="6" name="Gastos Pessoais" dataDxfId="28"/>
    <tableColumn id="7" name="Aplicações Financeiras" dataDxfId="27"/>
    <tableColumn id="8" name="Gastos Circunstanciais" dataDxfId="26"/>
    <tableColumn id="9" name="Metas" dataDxfId="25"/>
    <tableColumn id="10" name="Familia" dataDxfId="2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23" dataDxfId="21" headerRowBorderDxfId="22" tableBorderDxfId="20" totalsRowBorderDxfId="19">
  <autoFilter ref="B8:F9">
    <filterColumn colId="4"/>
  </autoFilter>
  <sortState ref="B9:F102">
    <sortCondition descending="1" ref="B8:B102"/>
  </sortState>
  <tableColumns count="5">
    <tableColumn id="1" name="Data Pagamento" dataDxfId="18"/>
    <tableColumn id="2" name="Valor" dataDxfId="17" dataCellStyle="Moeda"/>
    <tableColumn id="3" name="Descrição" dataDxfId="16"/>
    <tableColumn id="12" name="Tipo" dataDxfId="15"/>
    <tableColumn id="4" name="Devedor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13" dataDxfId="11" headerRowBorderDxfId="12" tableBorderDxfId="10" totalsRowBorderDxfId="9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8"/>
    <tableColumn id="2" name="Valor do Parcelamento" dataDxfId="7" dataCellStyle="Moeda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 dataCellStyle="Moeda"/>
    <tableColumn id="4" name="Valor Restante" dataDxfId="1" dataCellStyle="Moeda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3.85546875" customWidth="1"/>
    <col min="22" max="22" width="20.7109375" bestFit="1" customWidth="1"/>
    <col min="23" max="23" width="19.28515625" bestFit="1" customWidth="1"/>
    <col min="24" max="24" width="18.28515625" bestFit="1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bestFit="1" customWidth="1"/>
    <col min="33" max="33" width="13.85546875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27</v>
      </c>
      <c r="U4" t="s">
        <v>54</v>
      </c>
      <c r="AF4" t="s">
        <v>27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0</v>
      </c>
      <c r="U5" s="1">
        <v>0</v>
      </c>
      <c r="AE5" t="s">
        <v>57</v>
      </c>
      <c r="AF5" s="1">
        <v>0</v>
      </c>
      <c r="AG5" s="1">
        <v>0</v>
      </c>
      <c r="AJ5" s="54"/>
      <c r="AL5" s="39" t="s">
        <v>54</v>
      </c>
      <c r="AM5" s="40">
        <v>0</v>
      </c>
      <c r="AR5" s="54"/>
      <c r="AT5" t="s">
        <v>64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0">
        <v>0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workbookViewId="0">
      <selection activeCell="J9" sqref="J9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26" t="s">
        <v>36</v>
      </c>
      <c r="N2" s="126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0</v>
      </c>
      <c r="F4" s="24" t="s">
        <v>1</v>
      </c>
      <c r="G4" s="29" t="e">
        <f>G9*#REF!</f>
        <v>#REF!</v>
      </c>
      <c r="I4" s="17" t="s">
        <v>1</v>
      </c>
      <c r="J4" s="72">
        <v>0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0</v>
      </c>
      <c r="F6" s="26" t="s">
        <v>3</v>
      </c>
      <c r="G6" s="29" t="e">
        <f>G9*#REF!</f>
        <v>#REF!</v>
      </c>
      <c r="I6" s="19" t="s">
        <v>3</v>
      </c>
      <c r="J6" s="72">
        <v>0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0</v>
      </c>
      <c r="F7" s="27" t="s">
        <v>4</v>
      </c>
      <c r="G7" s="29">
        <f>G9*K3</f>
        <v>0</v>
      </c>
      <c r="I7" s="20" t="s">
        <v>4</v>
      </c>
      <c r="J7" s="72">
        <v>0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0</v>
      </c>
      <c r="F8" s="28" t="s">
        <v>5</v>
      </c>
      <c r="G8" s="30" t="e">
        <f>SUM(#REF!-I14-K26)</f>
        <v>#REF!</v>
      </c>
      <c r="I8" s="46" t="s">
        <v>9</v>
      </c>
      <c r="J8" s="72">
        <f>SUM(J3:J7)</f>
        <v>0</v>
      </c>
    </row>
    <row r="9" spans="2:14">
      <c r="B9" s="44"/>
      <c r="C9" s="65" t="s">
        <v>71</v>
      </c>
      <c r="D9" s="45">
        <v>0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26" t="s">
        <v>37</v>
      </c>
      <c r="N10" s="126"/>
    </row>
    <row r="11" spans="2:14" ht="18.75">
      <c r="B11" s="63"/>
      <c r="C11" s="66" t="s">
        <v>70</v>
      </c>
      <c r="D11" s="64">
        <v>0</v>
      </c>
      <c r="F11" s="21" t="s">
        <v>13</v>
      </c>
      <c r="G11" s="21" t="s">
        <v>63</v>
      </c>
      <c r="I11" s="28" t="s">
        <v>73</v>
      </c>
      <c r="J11" s="69"/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0</v>
      </c>
      <c r="I12" s="28" t="s">
        <v>74</v>
      </c>
      <c r="J12" s="69"/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0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0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15.8554687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29" t="s">
        <v>14</v>
      </c>
      <c r="C2" s="130"/>
      <c r="D2" s="130"/>
      <c r="E2" s="130"/>
      <c r="F2" s="130"/>
      <c r="G2" s="130"/>
      <c r="H2" s="130"/>
      <c r="I2" s="130"/>
      <c r="J2" s="131"/>
    </row>
    <row r="3" spans="2:10" ht="23.25">
      <c r="B3" s="132" t="s">
        <v>28</v>
      </c>
      <c r="C3" s="133"/>
      <c r="D3" s="133"/>
      <c r="E3" s="133"/>
      <c r="F3" s="133"/>
      <c r="G3" s="133"/>
      <c r="H3" s="133"/>
      <c r="I3" s="133"/>
      <c r="J3" s="134"/>
    </row>
    <row r="4" spans="2:10" ht="21">
      <c r="B4" s="42" t="s">
        <v>39</v>
      </c>
      <c r="C4" s="42" t="s">
        <v>40</v>
      </c>
      <c r="D4" s="135"/>
      <c r="E4" s="127" t="s">
        <v>29</v>
      </c>
      <c r="F4" s="128"/>
      <c r="G4" s="128"/>
      <c r="H4" s="128"/>
      <c r="I4" s="128"/>
      <c r="J4" s="128"/>
    </row>
    <row r="5" spans="2:10" ht="21" customHeight="1">
      <c r="B5" s="37">
        <f ca="1">C5</f>
        <v>44968</v>
      </c>
      <c r="C5" s="38">
        <f ca="1">TODAY()</f>
        <v>44968</v>
      </c>
      <c r="D5" s="136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37"/>
      <c r="C6" s="138"/>
      <c r="D6" s="139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13" t="s">
        <v>27</v>
      </c>
      <c r="C8" s="112" t="s">
        <v>27</v>
      </c>
      <c r="D8" s="115" t="s">
        <v>27</v>
      </c>
      <c r="E8" s="112" t="s">
        <v>27</v>
      </c>
      <c r="F8" s="112" t="s">
        <v>27</v>
      </c>
      <c r="G8" s="112" t="s">
        <v>27</v>
      </c>
      <c r="H8" s="112" t="s">
        <v>27</v>
      </c>
      <c r="I8" s="112" t="s">
        <v>27</v>
      </c>
      <c r="J8" s="112" t="s">
        <v>27</v>
      </c>
    </row>
    <row r="20" spans="13:14">
      <c r="M20" s="36"/>
      <c r="N20" s="36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I15" sqref="I15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43" t="s">
        <v>14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P2" s="144" t="s">
        <v>30</v>
      </c>
      <c r="Q2" s="144"/>
      <c r="R2" s="144"/>
    </row>
    <row r="3" spans="2:18" ht="23.25">
      <c r="B3" s="133" t="s">
        <v>23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P3" s="9" t="s">
        <v>11</v>
      </c>
      <c r="Q3" s="145">
        <v>0</v>
      </c>
      <c r="R3" s="146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40" t="s">
        <v>19</v>
      </c>
      <c r="I4" s="141"/>
      <c r="J4" s="141"/>
      <c r="K4" s="141"/>
      <c r="L4" s="141"/>
      <c r="M4" s="142"/>
    </row>
    <row r="5" spans="2:18" ht="21" customHeight="1">
      <c r="B5" s="37">
        <f ca="1">C5</f>
        <v>44968</v>
      </c>
      <c r="C5" s="38">
        <f ca="1">TODAY()</f>
        <v>44968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13" t="s">
        <v>27</v>
      </c>
      <c r="C8" s="114" t="s">
        <v>27</v>
      </c>
      <c r="D8" s="115" t="s">
        <v>27</v>
      </c>
      <c r="E8" s="111" t="s">
        <v>27</v>
      </c>
      <c r="F8" s="116" t="s">
        <v>27</v>
      </c>
      <c r="G8" s="116" t="s">
        <v>27</v>
      </c>
      <c r="H8" s="112" t="s">
        <v>27</v>
      </c>
      <c r="I8" s="112" t="s">
        <v>27</v>
      </c>
      <c r="J8" s="112" t="s">
        <v>27</v>
      </c>
      <c r="K8" s="112" t="s">
        <v>27</v>
      </c>
      <c r="L8" s="112" t="s">
        <v>27</v>
      </c>
      <c r="M8" s="112" t="s">
        <v>27</v>
      </c>
    </row>
    <row r="9" spans="2:18">
      <c r="C9" t="s">
        <v>32</v>
      </c>
      <c r="J9" s="13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20"/>
  <sheetViews>
    <sheetView zoomScale="55" zoomScaleNormal="55" workbookViewId="0">
      <selection activeCell="A11" sqref="A11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48" t="s">
        <v>14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5"/>
    </row>
    <row r="3" spans="2:23" ht="23.25">
      <c r="B3" s="147" t="s">
        <v>22</v>
      </c>
      <c r="C3" s="147"/>
      <c r="D3" s="147"/>
      <c r="E3" s="147"/>
      <c r="F3" s="147"/>
      <c r="G3" s="147"/>
      <c r="H3" s="147"/>
      <c r="I3" s="147"/>
      <c r="J3" s="147"/>
      <c r="K3" s="133" t="s">
        <v>19</v>
      </c>
      <c r="L3" s="133"/>
      <c r="M3" s="133"/>
      <c r="N3" s="133"/>
      <c r="O3" s="133"/>
      <c r="P3" s="133"/>
      <c r="Q3" s="133" t="s">
        <v>35</v>
      </c>
      <c r="R3" s="133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44968</v>
      </c>
      <c r="C5" s="38">
        <f ca="1">TODAY()</f>
        <v>44968</v>
      </c>
      <c r="D5" s="49"/>
      <c r="E5" s="49"/>
      <c r="F5" s="49"/>
      <c r="G5" s="49"/>
      <c r="H5" s="49"/>
      <c r="I5" s="49"/>
      <c r="J5" s="50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49" t="s">
        <v>43</v>
      </c>
      <c r="V6" s="150"/>
      <c r="W6" s="151"/>
    </row>
    <row r="7" spans="2:23" ht="26.25">
      <c r="B7" s="105" t="s">
        <v>27</v>
      </c>
      <c r="C7" s="105" t="s">
        <v>27</v>
      </c>
      <c r="D7" s="106" t="s">
        <v>27</v>
      </c>
      <c r="E7" s="106" t="s">
        <v>27</v>
      </c>
      <c r="F7" s="107" t="s">
        <v>27</v>
      </c>
      <c r="G7" s="108" t="s">
        <v>27</v>
      </c>
      <c r="H7" s="105" t="s">
        <v>27</v>
      </c>
      <c r="I7" s="105" t="s">
        <v>27</v>
      </c>
      <c r="J7" s="109" t="s">
        <v>27</v>
      </c>
      <c r="K7" s="107" t="s">
        <v>27</v>
      </c>
      <c r="L7" s="107" t="s">
        <v>27</v>
      </c>
      <c r="M7" s="107" t="s">
        <v>27</v>
      </c>
      <c r="N7" s="107" t="s">
        <v>27</v>
      </c>
      <c r="O7" s="107" t="s">
        <v>27</v>
      </c>
      <c r="P7" s="107" t="s">
        <v>27</v>
      </c>
      <c r="Q7" s="110" t="s">
        <v>27</v>
      </c>
      <c r="R7" s="107" t="s">
        <v>27</v>
      </c>
      <c r="U7" s="82" t="s">
        <v>44</v>
      </c>
      <c r="V7" s="83" t="s">
        <v>45</v>
      </c>
      <c r="W7" s="84" t="s">
        <v>46</v>
      </c>
    </row>
    <row r="8" spans="2:23" ht="26.25">
      <c r="U8" s="111" t="s">
        <v>27</v>
      </c>
      <c r="V8" s="112" t="s">
        <v>27</v>
      </c>
      <c r="W8" s="112" t="s">
        <v>27</v>
      </c>
    </row>
    <row r="12" spans="2:23">
      <c r="E12" s="1"/>
      <c r="F12" s="1"/>
    </row>
    <row r="13" spans="2:23">
      <c r="E13" s="1"/>
      <c r="F13" s="1"/>
    </row>
    <row r="14" spans="2:23">
      <c r="E14" s="1"/>
      <c r="F14" s="1"/>
    </row>
    <row r="15" spans="2:23">
      <c r="E15" s="1"/>
      <c r="F15" s="1"/>
    </row>
    <row r="16" spans="2:23">
      <c r="F16" s="1"/>
    </row>
    <row r="17" spans="6:6">
      <c r="F17" s="1"/>
    </row>
    <row r="18" spans="6:6">
      <c r="F18" s="1"/>
    </row>
    <row r="19" spans="6:6">
      <c r="F19" s="1"/>
    </row>
    <row r="20" spans="6:6">
      <c r="F20" s="1"/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13" sqref="G13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52" t="s">
        <v>14</v>
      </c>
      <c r="C3" s="153"/>
      <c r="D3" s="153"/>
      <c r="E3" s="153"/>
      <c r="F3" s="153"/>
      <c r="G3" s="153"/>
      <c r="H3" s="153"/>
      <c r="I3" s="153"/>
    </row>
    <row r="4" spans="2:9" ht="23.25">
      <c r="B4" s="147" t="s">
        <v>41</v>
      </c>
      <c r="C4" s="147"/>
      <c r="D4" s="147"/>
      <c r="E4" s="147"/>
      <c r="F4" s="147"/>
      <c r="G4" s="147"/>
      <c r="H4" s="147"/>
      <c r="I4" s="147"/>
    </row>
    <row r="5" spans="2:9" ht="21">
      <c r="B5" s="42" t="s">
        <v>39</v>
      </c>
      <c r="C5" s="42" t="s">
        <v>40</v>
      </c>
      <c r="D5" s="137"/>
      <c r="E5" s="127" t="s">
        <v>42</v>
      </c>
      <c r="F5" s="128"/>
      <c r="G5" s="128"/>
      <c r="H5" s="128"/>
      <c r="I5" s="128"/>
    </row>
    <row r="6" spans="2:9" ht="21">
      <c r="B6" s="37">
        <f ca="1">C6</f>
        <v>44968</v>
      </c>
      <c r="C6" s="38">
        <f ca="1">TODAY()</f>
        <v>44968</v>
      </c>
      <c r="D6" s="137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37"/>
      <c r="C7" s="138"/>
      <c r="D7" s="138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98" t="s">
        <v>27</v>
      </c>
      <c r="C9" s="99" t="s">
        <v>27</v>
      </c>
      <c r="D9" s="99" t="s">
        <v>27</v>
      </c>
      <c r="E9" s="99" t="s">
        <v>27</v>
      </c>
      <c r="F9" s="99" t="s">
        <v>27</v>
      </c>
      <c r="G9" s="99" t="s">
        <v>27</v>
      </c>
      <c r="H9" s="99" t="s">
        <v>27</v>
      </c>
      <c r="I9" s="99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C9" sqref="C9:C115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55" t="s">
        <v>14</v>
      </c>
      <c r="C3" s="155"/>
      <c r="D3" s="155"/>
      <c r="E3" s="155"/>
      <c r="F3" s="155"/>
    </row>
    <row r="4" spans="2:6" ht="23.25">
      <c r="B4" s="154" t="s">
        <v>35</v>
      </c>
      <c r="C4" s="154"/>
      <c r="D4" s="154"/>
      <c r="E4" s="154"/>
      <c r="F4" s="154"/>
    </row>
    <row r="5" spans="2:6" ht="21">
      <c r="B5" s="42" t="s">
        <v>39</v>
      </c>
      <c r="C5" s="42" t="s">
        <v>40</v>
      </c>
      <c r="D5" s="138"/>
      <c r="E5" s="138"/>
      <c r="F5" s="138"/>
    </row>
    <row r="6" spans="2:6" ht="21">
      <c r="B6" s="37">
        <f ca="1">C6</f>
        <v>44968</v>
      </c>
      <c r="C6" s="38">
        <f ca="1">TODAY()</f>
        <v>44968</v>
      </c>
      <c r="D6" s="138"/>
      <c r="E6" s="138"/>
      <c r="F6" s="138"/>
    </row>
    <row r="7" spans="2:6" ht="21">
      <c r="B7" s="48"/>
      <c r="C7" s="48"/>
      <c r="D7" s="138"/>
      <c r="E7" s="138"/>
      <c r="F7" s="138"/>
    </row>
    <row r="8" spans="2:6" ht="26.25">
      <c r="B8" s="100" t="s">
        <v>66</v>
      </c>
      <c r="C8" s="101" t="s">
        <v>11</v>
      </c>
      <c r="D8" s="101" t="s">
        <v>12</v>
      </c>
      <c r="E8" s="101" t="s">
        <v>13</v>
      </c>
      <c r="F8" s="101" t="s">
        <v>68</v>
      </c>
    </row>
    <row r="9" spans="2:6" ht="26.25">
      <c r="B9" s="117" t="s">
        <v>27</v>
      </c>
      <c r="C9" s="118" t="s">
        <v>27</v>
      </c>
      <c r="D9" s="119" t="s">
        <v>27</v>
      </c>
      <c r="E9" s="120" t="s">
        <v>27</v>
      </c>
      <c r="F9" s="121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F22" sqref="F22"/>
    </sheetView>
  </sheetViews>
  <sheetFormatPr defaultRowHeight="15"/>
  <cols>
    <col min="2" max="2" width="15.85546875" bestFit="1" customWidth="1"/>
    <col min="3" max="3" width="45.85546875" bestFit="1" customWidth="1"/>
    <col min="4" max="4" width="15.28515625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56" t="s">
        <v>14</v>
      </c>
      <c r="C2" s="157"/>
      <c r="D2" s="157"/>
      <c r="E2" s="157"/>
      <c r="F2" s="157"/>
      <c r="G2" s="157"/>
      <c r="H2" s="157"/>
      <c r="I2" s="157"/>
      <c r="J2" s="157"/>
    </row>
    <row r="3" spans="2:10" ht="23.25">
      <c r="B3" s="158" t="s">
        <v>49</v>
      </c>
      <c r="C3" s="154"/>
      <c r="D3" s="154"/>
      <c r="E3" s="154"/>
      <c r="F3" s="154"/>
      <c r="G3" s="154"/>
      <c r="H3" s="154"/>
      <c r="I3" s="154"/>
      <c r="J3" s="154"/>
    </row>
    <row r="4" spans="2:10" ht="21">
      <c r="B4" s="51" t="s">
        <v>39</v>
      </c>
      <c r="C4" s="37">
        <f ca="1">E4</f>
        <v>44968</v>
      </c>
      <c r="D4" s="51" t="s">
        <v>40</v>
      </c>
      <c r="E4" s="38">
        <f ca="1">TODAY()</f>
        <v>44968</v>
      </c>
      <c r="F4" s="52"/>
      <c r="G4" s="52"/>
      <c r="H4" s="52"/>
      <c r="I4" s="52"/>
      <c r="J4" s="52"/>
    </row>
    <row r="5" spans="2:10" ht="26.25">
      <c r="B5" s="102" t="s">
        <v>8</v>
      </c>
      <c r="C5" s="75" t="s">
        <v>50</v>
      </c>
      <c r="D5" s="75" t="s">
        <v>13</v>
      </c>
      <c r="E5" s="75" t="s">
        <v>67</v>
      </c>
      <c r="F5" s="103" t="s">
        <v>47</v>
      </c>
      <c r="G5" s="75" t="s">
        <v>48</v>
      </c>
      <c r="H5" s="75" t="s">
        <v>51</v>
      </c>
      <c r="I5" s="104" t="s">
        <v>52</v>
      </c>
      <c r="J5" s="75" t="s">
        <v>21</v>
      </c>
    </row>
    <row r="6" spans="2:10" ht="26.25">
      <c r="B6" s="122" t="s">
        <v>27</v>
      </c>
      <c r="C6" s="123" t="s">
        <v>27</v>
      </c>
      <c r="D6" s="124" t="s">
        <v>27</v>
      </c>
      <c r="E6" s="124" t="s">
        <v>27</v>
      </c>
      <c r="F6" s="125" t="s">
        <v>27</v>
      </c>
      <c r="G6" s="125" t="s">
        <v>27</v>
      </c>
      <c r="H6" s="123" t="s">
        <v>27</v>
      </c>
      <c r="I6" s="123" t="s">
        <v>27</v>
      </c>
      <c r="J6" s="111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2023-02-11T15:51:58Z</dcterms:modified>
</cp:coreProperties>
</file>