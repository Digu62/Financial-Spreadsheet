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157" r:id="rId10"/>
    <pivotCache cacheId="160" r:id="rId11"/>
    <pivotCache cacheId="163" r:id="rId12"/>
    <pivotCache cacheId="166" r:id="rId13"/>
    <pivotCache cacheId="169" r:id="rId14"/>
  </pivotCaches>
</workbook>
</file>

<file path=xl/calcChain.xml><?xml version="1.0" encoding="utf-8"?>
<calcChain xmlns="http://schemas.openxmlformats.org/spreadsheetml/2006/main">
  <c r="O5" i="5"/>
  <c r="N5"/>
  <c r="M5"/>
  <c r="L5"/>
  <c r="K5"/>
  <c r="I6" i="4"/>
  <c r="H6"/>
  <c r="G6"/>
  <c r="F6"/>
  <c r="E6"/>
  <c r="L6" i="6"/>
  <c r="K6"/>
  <c r="J6"/>
  <c r="I6"/>
  <c r="H6"/>
  <c r="G6"/>
  <c r="G16" i="9"/>
  <c r="G17"/>
  <c r="J6" i="4" l="1"/>
  <c r="P5" i="5"/>
  <c r="M6" i="6"/>
  <c r="G15" i="9"/>
  <c r="I7" i="14"/>
  <c r="H7"/>
  <c r="G7"/>
  <c r="F7"/>
  <c r="E7"/>
  <c r="D5" i="9" l="1"/>
  <c r="D4"/>
  <c r="D3"/>
  <c r="F4" i="15" l="1"/>
  <c r="C4" s="1"/>
  <c r="C6" i="18"/>
  <c r="B6" s="1"/>
  <c r="C6" i="14"/>
  <c r="B6" s="1"/>
  <c r="C5" i="5" l="1"/>
  <c r="B5" s="1"/>
  <c r="C5" i="6" l="1"/>
  <c r="B5" s="1"/>
  <c r="C5" i="4"/>
  <c r="B5" s="1"/>
  <c r="J8" i="9"/>
  <c r="G8"/>
  <c r="G7"/>
  <c r="G6"/>
  <c r="G5"/>
  <c r="G4"/>
  <c r="G3"/>
  <c r="D6" l="1"/>
  <c r="D7" l="1"/>
  <c r="D8" s="1"/>
  <c r="G12" l="1"/>
  <c r="G13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charset val="1"/>
          </rPr>
          <t>Autor:</t>
        </r>
        <r>
          <rPr>
            <sz val="9"/>
            <color indexed="81"/>
            <rFont val="Tahoma"/>
            <charset val="1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sz val="9"/>
            <color indexed="81"/>
            <rFont val="Tahoma"/>
            <charset val="1"/>
          </rPr>
          <t>asd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<sst xmlns="http://schemas.openxmlformats.org/spreadsheetml/2006/main" count="264" uniqueCount="77">
  <si>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</si>
  <si>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</si>
  <si>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</si>
  <si>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</si>
  <si>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</si>
  <si>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</si>
  <si>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</si>
  <si>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</si>
  <si>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</si>
  <si>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</si>
  <si>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</si>
  <si>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</si>
  <si>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</si>
  <si>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</si>
  <si>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</si>
  <si>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</si>
  <si>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</si>
  <si>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</si>
  <si>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</si>
  <si>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</si>
  <si>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</si>
  <si>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</si>
  <si>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</si>
  <si>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</si>
  <si>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</si>
  <si>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</si>
  <si>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</si>
  <si>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</si>
  <si>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</si>
  <si>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</si>
  <si>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</si>
  <si>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</si>
  <si>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</si>
  <si>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</si>
  <si>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</si>
  <si>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</si>
  <si>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</si>
  <si>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</si>
  <si>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</si>
  <si>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</si>
  <si>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</si>
  <si>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</si>
  <si>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</si>
  <si>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</si>
  <si>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</si>
  <si>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</si>
  <si>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</si>
  <si>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r>
      <t>Resetar Depositos</t>
    </r>
    <r>
      <rPr>
        <sz val="10"/>
        <color rgb="FFFFFFFF"/>
        <rFont val="Calibri"/>
        <family val="2"/>
        <scheme val="minor"/>
      </rPr>
      <t xml:space="preserve"> </t>
    </r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</si>
  <si>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</si>
  <si>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</si>
  <si>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</si>
  <si>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</si>
  <si>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</si>
  <si>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</si>
  <si>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</si>
  <si>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</si>
  <si>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</si>
  <si>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</si>
  <si>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</si>
  <si>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</si>
  <si>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</si>
  <si>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</si>
  <si>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</si>
  <si>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</si>
  <si>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</si>
  <si>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</si>
  <si>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</si>
  <si>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</si>
  <si>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</si>
  <si>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</si>
  <si>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</si>
  <si>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</si>
  <si>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</si>
  <si>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</si>
  <si>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</si>
  <si>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</si>
  <si>
    <t/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</si>
</sst>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9"/>
      <color indexed="81"/>
      <name val="Tahoma"/>
      <charset val="1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scheme val="minor"/>
    </font>
    <font>
      <sz val="11"/>
      <color theme="0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rgb="FFFFFFFF"/>
      <name val="Calibri"/>
      <family val="2"/>
      <scheme val="minor"/>
    </font>
    <font>
      <sz val="11"/>
      <color theme="1"/>
      <name val="Calibri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41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4" borderId="5" xfId="0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0" fontId="14" fillId="12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10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6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6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10" fillId="11" borderId="1" xfId="0" applyNumberFormat="1" applyFont="1" applyFill="1" applyBorder="1" applyAlignment="1">
      <alignment horizontal="center" vertical="center"/>
    </xf>
    <xf numFmtId="14" fontId="10" fillId="11" borderId="1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10" fillId="11" borderId="8" xfId="0" applyFont="1" applyFill="1" applyBorder="1" applyAlignment="1">
      <alignment vertical="center"/>
    </xf>
    <xf numFmtId="0" fontId="10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6" fillId="8" borderId="9" xfId="0" applyFont="1" applyFill="1" applyBorder="1" applyAlignment="1" applyProtection="1">
      <alignment horizontal="center"/>
    </xf>
    <xf numFmtId="9" fontId="0" fillId="11" borderId="10" xfId="2" applyFont="1" applyFill="1" applyBorder="1" applyAlignment="1" applyProtection="1">
      <alignment horizontal="center" vertical="center"/>
    </xf>
    <xf numFmtId="14" fontId="5" fillId="10" borderId="15" xfId="0" applyNumberFormat="1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vertical="center"/>
    </xf>
    <xf numFmtId="0" fontId="14" fillId="3" borderId="5" xfId="0" applyFont="1" applyFill="1" applyBorder="1" applyAlignment="1">
      <alignment vertical="center"/>
    </xf>
    <xf numFmtId="0" fontId="14" fillId="4" borderId="5" xfId="0" applyFont="1" applyFill="1" applyBorder="1" applyAlignment="1">
      <alignment vertical="center"/>
    </xf>
    <xf numFmtId="0" fontId="14" fillId="5" borderId="5" xfId="0" applyFont="1" applyFill="1" applyBorder="1" applyAlignment="1">
      <alignment vertical="center"/>
    </xf>
    <xf numFmtId="0" fontId="14" fillId="6" borderId="4" xfId="0" applyFont="1" applyFill="1" applyBorder="1" applyAlignment="1">
      <alignment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10" fillId="11" borderId="11" xfId="0" applyFont="1" applyFill="1" applyBorder="1" applyAlignment="1">
      <alignment vertical="center"/>
    </xf>
    <xf numFmtId="0" fontId="1" fillId="12" borderId="5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10" fillId="11" borderId="14" xfId="0" applyFont="1" applyFill="1" applyBorder="1" applyAlignment="1">
      <alignment vertical="center"/>
    </xf>
    <xf numFmtId="0" fontId="10" fillId="11" borderId="15" xfId="0" applyFont="1" applyFill="1" applyBorder="1" applyAlignment="1">
      <alignment vertical="center"/>
    </xf>
    <xf numFmtId="0" fontId="10" fillId="11" borderId="1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14" fontId="5" fillId="10" borderId="5" xfId="0" applyNumberFormat="1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vertical="center"/>
    </xf>
    <xf numFmtId="14" fontId="15" fillId="17" borderId="11" xfId="0" applyNumberFormat="1" applyFont="1" applyFill="1" applyBorder="1" applyAlignment="1">
      <alignment horizontal="center" vertical="center"/>
    </xf>
    <xf numFmtId="165" fontId="15" fillId="17" borderId="11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10" fontId="0" fillId="0" borderId="2" xfId="2" applyNumberFormat="1" applyFont="1" applyBorder="1" applyAlignment="1" applyProtection="1">
      <alignment horizontal="center" vertical="center"/>
    </xf>
    <xf numFmtId="14" fontId="15" fillId="17" borderId="10" xfId="0" applyNumberFormat="1" applyFont="1" applyFill="1" applyBorder="1" applyAlignment="1">
      <alignment horizontal="center" vertical="center"/>
    </xf>
    <xf numFmtId="0" fontId="15" fillId="17" borderId="11" xfId="0" applyNumberFormat="1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19" fillId="9" borderId="9" xfId="0" applyFont="1" applyFill="1" applyBorder="1" applyAlignment="1">
      <alignment horizontal="center" vertical="center"/>
    </xf>
    <xf numFmtId="165" fontId="19" fillId="0" borderId="10" xfId="0" applyNumberFormat="1" applyFont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8" borderId="8" xfId="0" applyFill="1" applyBorder="1" applyAlignment="1">
      <alignment horizontal="center" vertical="center"/>
    </xf>
    <xf numFmtId="0" fontId="0" fillId="19" borderId="8" xfId="0" applyFont="1" applyFill="1" applyBorder="1" applyAlignment="1">
      <alignment horizontal="center" vertical="center"/>
    </xf>
    <xf numFmtId="165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center" vertical="center"/>
    </xf>
    <xf numFmtId="14" fontId="15" fillId="15" borderId="11" xfId="0" applyNumberFormat="1" applyFont="1" applyFill="1" applyBorder="1" applyAlignment="1">
      <alignment horizontal="center" vertical="center"/>
    </xf>
    <xf numFmtId="0" fontId="15" fillId="15" borderId="11" xfId="0" applyNumberFormat="1" applyFont="1" applyFill="1" applyBorder="1" applyAlignment="1">
      <alignment horizontal="center" vertical="center"/>
    </xf>
    <xf numFmtId="49" fontId="15" fillId="15" borderId="11" xfId="0" applyNumberFormat="1" applyFont="1" applyFill="1" applyBorder="1" applyAlignment="1">
      <alignment horizontal="left" vertical="center"/>
    </xf>
    <xf numFmtId="14" fontId="15" fillId="15" borderId="10" xfId="0" applyNumberFormat="1" applyFont="1" applyFill="1" applyBorder="1" applyAlignment="1">
      <alignment horizontal="center" vertical="center"/>
    </xf>
    <xf numFmtId="165" fontId="15" fillId="15" borderId="8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4" fontId="15" fillId="15" borderId="12" xfId="0" applyNumberFormat="1" applyFont="1" applyFill="1" applyBorder="1" applyAlignment="1">
      <alignment horizontal="center" vertical="center"/>
    </xf>
    <xf numFmtId="49" fontId="15" fillId="15" borderId="13" xfId="0" applyNumberFormat="1" applyFont="1" applyFill="1" applyBorder="1" applyAlignment="1">
      <alignment horizontal="center" vertical="center"/>
    </xf>
    <xf numFmtId="0" fontId="20" fillId="0" borderId="0" xfId="0" applyFont="1"/>
    <xf numFmtId="14" fontId="1" fillId="17" borderId="11" xfId="0" applyNumberFormat="1" applyFont="1" applyFill="1" applyBorder="1" applyAlignment="1">
      <alignment horizontal="center" vertical="center"/>
    </xf>
    <xf numFmtId="165" fontId="1" fillId="17" borderId="11" xfId="0" applyNumberFormat="1" applyFont="1" applyFill="1" applyBorder="1" applyAlignment="1">
      <alignment horizontal="center" vertical="center"/>
    </xf>
    <xf numFmtId="49" fontId="1" fillId="17" borderId="11" xfId="0" applyNumberFormat="1" applyFont="1" applyFill="1" applyBorder="1" applyAlignment="1">
      <alignment horizontal="left" vertical="center"/>
    </xf>
    <xf numFmtId="167" fontId="0" fillId="0" borderId="1" xfId="0" applyNumberFormat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10" fillId="11" borderId="4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9" fillId="11" borderId="6" xfId="0" applyFont="1" applyFill="1" applyBorder="1" applyAlignment="1">
      <alignment horizontal="center" vertical="center"/>
    </xf>
    <xf numFmtId="0" fontId="9" fillId="11" borderId="3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/>
    </xf>
    <xf numFmtId="0" fontId="12" fillId="13" borderId="6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0" fillId="11" borderId="9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3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3" fillId="11" borderId="0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theme="0" tint="-0.14999847407452621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6467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05199104"/>
        <c:axId val="105200640"/>
      </c:barChart>
      <c:catAx>
        <c:axId val="105199104"/>
        <c:scaling>
          <c:orientation val="minMax"/>
        </c:scaling>
        <c:delete val="1"/>
        <c:axPos val="b"/>
        <c:majorTickMark val="none"/>
        <c:tickLblPos val="none"/>
        <c:crossAx val="105200640"/>
        <c:crosses val="autoZero"/>
        <c:auto val="1"/>
        <c:lblAlgn val="ctr"/>
        <c:lblOffset val="100"/>
      </c:catAx>
      <c:valAx>
        <c:axId val="10520064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5199104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0.27348711729983555"/>
          <c:h val="7.5710877883692435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74" footer="0.3149606200000067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6095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5518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863" footer="0.3149606200000086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8576E-2"/>
          <c:y val="0.24922454492697799"/>
          <c:w val="0.55772095663848531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5352192"/>
        <c:axId val="105366272"/>
      </c:barChart>
      <c:catAx>
        <c:axId val="105352192"/>
        <c:scaling>
          <c:orientation val="minMax"/>
        </c:scaling>
        <c:delete val="1"/>
        <c:axPos val="b"/>
        <c:majorTickMark val="none"/>
        <c:tickLblPos val="none"/>
        <c:crossAx val="105366272"/>
        <c:crosses val="autoZero"/>
        <c:auto val="1"/>
        <c:lblAlgn val="ctr"/>
        <c:lblOffset val="100"/>
      </c:catAx>
      <c:valAx>
        <c:axId val="10536627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535219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2372594401491348"/>
          <c:h val="0.16233289646133744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85" footer="0.3149606200000068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8961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36468736"/>
        <c:axId val="136491008"/>
      </c:barChart>
      <c:catAx>
        <c:axId val="136468736"/>
        <c:scaling>
          <c:orientation val="minMax"/>
        </c:scaling>
        <c:delete val="1"/>
        <c:axPos val="b"/>
        <c:tickLblPos val="none"/>
        <c:crossAx val="136491008"/>
        <c:crosses val="autoZero"/>
        <c:auto val="1"/>
        <c:lblAlgn val="ctr"/>
        <c:lblOffset val="100"/>
      </c:catAx>
      <c:valAx>
        <c:axId val="13649100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64687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5"/>
          <c:w val="0.96814098734152465"/>
          <c:h val="0.2846883036647787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13" footer="0.3149606200000041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3858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292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36579328"/>
        <c:axId val="136593408"/>
      </c:barChart>
      <c:catAx>
        <c:axId val="136579328"/>
        <c:scaling>
          <c:orientation val="minMax"/>
        </c:scaling>
        <c:delete val="1"/>
        <c:axPos val="b"/>
        <c:tickLblPos val="none"/>
        <c:crossAx val="136593408"/>
        <c:crosses val="autoZero"/>
        <c:auto val="1"/>
        <c:lblAlgn val="ctr"/>
        <c:lblOffset val="100"/>
      </c:catAx>
      <c:valAx>
        <c:axId val="13659340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657932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482"/>
          <c:w val="0.30691318658875222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474" footer="0.3149606200000047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6829568"/>
        <c:axId val="136905088"/>
      </c:barChart>
      <c:catAx>
        <c:axId val="136829568"/>
        <c:scaling>
          <c:orientation val="minMax"/>
        </c:scaling>
        <c:axPos val="b"/>
        <c:majorTickMark val="none"/>
        <c:tickLblPos val="nextTo"/>
        <c:crossAx val="136905088"/>
        <c:crosses val="autoZero"/>
        <c:auto val="1"/>
        <c:lblAlgn val="ctr"/>
        <c:lblOffset val="100"/>
      </c:catAx>
      <c:valAx>
        <c:axId val="13690508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36829568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0657" footer="0.31496062000000657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36918912"/>
        <c:axId val="136920448"/>
      </c:barChart>
      <c:catAx>
        <c:axId val="136918912"/>
        <c:scaling>
          <c:orientation val="minMax"/>
        </c:scaling>
        <c:delete val="1"/>
        <c:axPos val="b"/>
        <c:majorTickMark val="none"/>
        <c:tickLblPos val="none"/>
        <c:crossAx val="136920448"/>
        <c:crosses val="autoZero"/>
        <c:auto val="1"/>
        <c:lblAlgn val="ctr"/>
        <c:lblOffset val="100"/>
      </c:catAx>
      <c:valAx>
        <c:axId val="13692044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6918912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652" footer="0.3149606200000065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36965504"/>
        <c:axId val="136967296"/>
      </c:lineChart>
      <c:catAx>
        <c:axId val="136965504"/>
        <c:scaling>
          <c:orientation val="minMax"/>
        </c:scaling>
        <c:axPos val="b"/>
        <c:tickLblPos val="nextTo"/>
        <c:crossAx val="136967296"/>
        <c:crosses val="autoZero"/>
        <c:auto val="1"/>
        <c:lblAlgn val="ctr"/>
        <c:lblOffset val="100"/>
      </c:catAx>
      <c:valAx>
        <c:axId val="136967296"/>
        <c:scaling>
          <c:orientation val="minMax"/>
        </c:scaling>
        <c:axPos val="l"/>
        <c:majorGridlines/>
        <c:numFmt formatCode="General" sourceLinked="1"/>
        <c:tickLblPos val="nextTo"/>
        <c:crossAx val="136965504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0652" footer="0.3149606200000065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678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37048064"/>
        <c:axId val="137049600"/>
      </c:barChart>
      <c:catAx>
        <c:axId val="137048064"/>
        <c:scaling>
          <c:orientation val="minMax"/>
        </c:scaling>
        <c:delete val="1"/>
        <c:axPos val="b"/>
        <c:tickLblPos val="none"/>
        <c:crossAx val="137049600"/>
        <c:crosses val="autoZero"/>
        <c:auto val="1"/>
        <c:lblAlgn val="ctr"/>
        <c:lblOffset val="100"/>
      </c:catAx>
      <c:valAx>
        <c:axId val="13704960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7048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799"/>
          <c:y val="0.24586515918774476"/>
          <c:w val="0.26636696142437405"/>
          <c:h val="0.47250959916964852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0458" footer="0.31496062000000458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895"/>
          <c:w val="0.966695289818894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37118848"/>
        <c:axId val="137120384"/>
      </c:barChart>
      <c:catAx>
        <c:axId val="137118848"/>
        <c:scaling>
          <c:orientation val="minMax"/>
        </c:scaling>
        <c:delete val="1"/>
        <c:axPos val="b"/>
        <c:tickLblPos val="none"/>
        <c:crossAx val="137120384"/>
        <c:crosses val="autoZero"/>
        <c:auto val="1"/>
        <c:lblAlgn val="ctr"/>
        <c:lblOffset val="100"/>
      </c:catAx>
      <c:valAx>
        <c:axId val="13712038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371188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044"/>
          <c:w val="0.23733514787757207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0402" footer="0.314960620000004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solidFill>
          <a:srgbClr val="262B2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4</xdr:row>
      <xdr:rowOff>1</xdr:rowOff>
    </xdr:from>
    <xdr:to>
      <xdr:col>20</xdr:col>
      <xdr:colOff>1763297</xdr:colOff>
      <xdr:row>4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850.950326620368" createdVersion="3" refreshedVersion="3" minRefreshableVersion="3" recordCount="1">
  <cacheSource type="worksheet">
    <worksheetSource name="Devedores"/>
  </cacheSource>
  <cacheFields count="3">
    <cacheField name="Nome" numFmtId="165">
      <sharedItems containsBlank="1" count="24">
        <s v="-"/>
        <m u="1"/>
        <s v="Z" u="1"/>
        <s v="S" u="1"/>
        <s v="Aurelio" u="1"/>
        <s v="Marcelo" u="1"/>
        <s v="Q" u="1"/>
        <s v="Antonio" u="1"/>
        <s v="Mario Carlo" u="1"/>
        <s v="Pedro" u="1"/>
        <s v="Mario Antonio" u="1"/>
        <s v="Marcos" u="1"/>
        <s v="A" u="1"/>
        <s v="Larissa" u="1"/>
        <s v="Larissa " u="1"/>
        <s v="Joao" u="1"/>
        <s v="Rodrigo Peixoto" u="1"/>
        <s v="Jonathan" u="1"/>
        <s v="R" u="1"/>
        <s v="W" u="1"/>
        <s v="P" u="1"/>
        <s v="Rodrigo" u="1"/>
        <s v="B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850.950326851853" createdVersion="3" refreshedVersion="3" minRefreshableVersion="3" recordCount="1">
  <cacheSource type="worksheet">
    <worksheetSource name="Parcelamento"/>
  </cacheSource>
  <cacheFields count="8">
    <cacheField name="Data" numFmtId="14">
      <sharedItems/>
    </cacheField>
    <cacheField name="Valor do Parcelamento" numFmtId="165">
      <sharedItems/>
    </cacheField>
    <cacheField name="Tipo" numFmtId="165">
      <sharedItems count="3">
        <s v="-"/>
        <s v="Saque" u="1"/>
        <s v="Emprestimo" u="1"/>
      </sharedItems>
    </cacheField>
    <cacheField name="Banco" numFmtId="165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850.950326851853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06-22T00:00:00" count="5">
        <s v="-"/>
        <d v="2022-06-01T00:00:00" u="1"/>
        <d v="2022-01-10T00:00:00" u="1"/>
        <d v="2022-01-15T00:00:00" u="1"/>
        <d v="2022-06-21T00:00:00" u="1"/>
      </sharedItems>
    </cacheField>
    <cacheField name="Valor" numFmtId="165">
      <sharedItems/>
    </cacheField>
    <cacheField name="Descrição" numFmtId="49">
      <sharedItems/>
    </cacheField>
    <cacheField name="Parcelas Totais" numFmtId="49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850.950326967592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850.950326967592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vedoresDinamica" cacheId="15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25">
        <item x="0"/>
        <item m="1" x="7"/>
        <item m="1" x="15"/>
        <item m="1" x="21"/>
        <item m="1" x="9"/>
        <item m="1" x="23"/>
        <item m="1" x="11"/>
        <item m="1" x="17"/>
        <item m="1" x="13"/>
        <item m="1" x="1"/>
        <item m="1" x="5"/>
        <item m="1" x="18"/>
        <item m="1" x="12"/>
        <item m="1" x="20"/>
        <item m="1" x="3"/>
        <item m="1" x="2"/>
        <item m="1" x="19"/>
        <item m="1" x="6"/>
        <item m="1" x="22"/>
        <item m="1" x="16"/>
        <item m="1" x="14"/>
        <item m="1" x="10"/>
        <item m="1" x="8"/>
        <item m="1" x="4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3">
      <pivotArea outline="0" collapsedLevelsAreSubtotals="1" fieldPosition="0"/>
    </format>
  </formats>
  <chartFormats count="4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aquesDinamica" cacheId="16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6">
        <item m="1" x="2"/>
        <item m="1" x="3"/>
        <item m="1" x="1"/>
        <item m="1" x="4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4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arcelamentosDinamica" cacheId="16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8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/>
    <pivotField showAll="0"/>
    <pivotField numFmtId="165" showAll="0"/>
    <pivotField dataField="1" numFmtId="165" showAl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4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GraficoFinancasDinamica" cacheId="16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5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SaldosDinamica" cacheId="16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6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2" tableBorderDxfId="111" totalsRowBorderDxfId="110">
  <autoFilter ref="B2:D11"/>
  <tableColumns count="3">
    <tableColumn id="1" name="Index" dataDxfId="109"/>
    <tableColumn id="2" name="Valores Totais Aplicados"/>
    <tableColumn id="3" name="Valores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7" headerRowBorderDxfId="106" tableBorderDxfId="105" totalsRowBorderDxfId="104">
  <autoFilter ref="I2:J8"/>
  <tableColumns count="2">
    <tableColumn id="1" name="Procentagens da receita"/>
    <tableColumn id="2" name="Percentuais" dataDxfId="103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2" dataDxfId="100" headerRowBorderDxfId="101" tableBorderDxfId="99" totalsRowBorderDxfId="98">
  <autoFilter ref="F11:G17"/>
  <tableColumns count="2">
    <tableColumn id="1" name="Tipo" dataDxfId="97"/>
    <tableColumn id="2" name="Saldo" dataDxfId="96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5" dataDxfId="93" headerRowBorderDxfId="94" tableBorderDxfId="92" totalsRowBorderDxfId="91">
  <autoFilter ref="B7:J8"/>
  <tableColumns count="9">
    <tableColumn id="1" name="Data" dataDxfId="29"/>
    <tableColumn id="2" name="Valor" dataDxfId="28"/>
    <tableColumn id="5" name="Descrição" dataDxfId="27"/>
    <tableColumn id="6" name="Gastos Pessoais" dataDxfId="26"/>
    <tableColumn id="7" name="Aplicações Financeiras" dataDxfId="25"/>
    <tableColumn id="8" name="Gastos Circunstanciais" dataDxfId="24"/>
    <tableColumn id="9" name="Metas" dataDxfId="23"/>
    <tableColumn id="10" name="Familia" dataDxfId="22"/>
    <tableColumn id="11" name="Total Investido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0" dataDxfId="88" headerRowBorderDxfId="89" tableBorderDxfId="87" totalsRowBorderDxfId="86">
  <autoFilter ref="B7:M8">
    <filterColumn colId="3"/>
    <filterColumn colId="4"/>
    <filterColumn colId="5"/>
  </autoFilter>
  <tableColumns count="12">
    <tableColumn id="1" name="Data Saque" dataDxfId="41"/>
    <tableColumn id="2" name="Valor" dataDxfId="40"/>
    <tableColumn id="3" name="Descrição" dataDxfId="39"/>
    <tableColumn id="10" name="Parcelas Totais" dataDxfId="38"/>
    <tableColumn id="12" name="Tipo" dataDxfId="37"/>
    <tableColumn id="11" name="Banco" dataDxfId="36"/>
    <tableColumn id="4" name="Gastos Pessoais" dataDxfId="35"/>
    <tableColumn id="5" name="Aplicações Financeiras" dataDxfId="34"/>
    <tableColumn id="6" name="Gastos Circunstanciais" dataDxfId="33"/>
    <tableColumn id="7" name="Metas" dataDxfId="32"/>
    <tableColumn id="8" name="Familia" dataDxfId="31"/>
    <tableColumn id="9" name="Total Saque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5" dataDxfId="83" headerRowBorderDxfId="84" tableBorderDxfId="82" totalsRowBorderDxfId="81">
  <autoFilter ref="B6:R7">
    <filterColumn colId="5"/>
    <filterColumn colId="6"/>
    <filterColumn colId="7"/>
    <filterColumn colId="15"/>
    <filterColumn colId="16"/>
  </autoFilter>
  <tableColumns count="17">
    <tableColumn id="1" name="Situação" dataDxfId="61"/>
    <tableColumn id="2" name="Responsável" dataDxfId="60"/>
    <tableColumn id="4" name="Data Emprestimo" dataDxfId="59"/>
    <tableColumn id="5" name="Data Devolução Prevista" dataDxfId="58"/>
    <tableColumn id="7" name="Valor do Emprestimo" dataDxfId="57"/>
    <tableColumn id="8" name="Parcelas Totais" dataDxfId="56"/>
    <tableColumn id="16" name="Tipo" dataDxfId="55"/>
    <tableColumn id="17" name="Banco" dataDxfId="54"/>
    <tableColumn id="9" name="Descrição" dataDxfId="53"/>
    <tableColumn id="10" name="Gastos Pessoais" dataDxfId="52"/>
    <tableColumn id="11" name="Aplicações Financeiras" dataDxfId="51"/>
    <tableColumn id="12" name="Gastos Circunstanciais" dataDxfId="50"/>
    <tableColumn id="13" name="Metas" dataDxfId="49"/>
    <tableColumn id="14" name="Familia" dataDxfId="48"/>
    <tableColumn id="15" name="Total Emprestimo" dataDxfId="47"/>
    <tableColumn id="3" name="Data Devolução" dataDxfId="46"/>
    <tableColumn id="6" name="Valor do Pagamento" dataDxfId="45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6:W7" totalsRowShown="0" headerRowDxfId="80" dataDxfId="78" headerRowBorderDxfId="79" tableBorderDxfId="77" totalsRowBorderDxfId="76">
  <autoFilter ref="U6:W7"/>
  <tableColumns count="3">
    <tableColumn id="1" name="Nome" dataDxfId="44"/>
    <tableColumn id="2" name="Divida Ativa" dataDxfId="43"/>
    <tableColumn id="3" name="Divida Anistiada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5" dataDxfId="73" headerRowBorderDxfId="74" tableBorderDxfId="72" totalsRowBorderDxfId="71">
  <autoFilter ref="B8:I9"/>
  <tableColumns count="8">
    <tableColumn id="1" name="Data" dataDxfId="20"/>
    <tableColumn id="2" name="Valor" dataDxfId="19"/>
    <tableColumn id="3" name="Tipo" dataDxfId="18"/>
    <tableColumn id="6" name="Gastos Pessoais" dataDxfId="17"/>
    <tableColumn id="7" name="Aplicações Financeiras" dataDxfId="16"/>
    <tableColumn id="8" name="Gastos Circunstanciais" dataDxfId="15"/>
    <tableColumn id="9" name="Metas" dataDxfId="14"/>
    <tableColumn id="10" name="Familia" dataDxfId="1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0" headerRowBorderDxfId="69" tableBorderDxfId="68" totalsRowBorderDxfId="67">
  <autoFilter ref="B8:F9">
    <filterColumn colId="4"/>
  </autoFilter>
  <tableColumns count="5">
    <tableColumn id="1" name="Data Pagamento" dataDxfId="12"/>
    <tableColumn id="2" name="Valor" dataDxfId="11"/>
    <tableColumn id="3" name="Descrição" dataDxfId="10"/>
    <tableColumn id="12" name="Tipo" dataDxfId="9"/>
    <tableColumn id="4" name="Devedor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I6" totalsRowShown="0" headerRowDxfId="66" dataDxfId="64" headerRowBorderDxfId="65" tableBorderDxfId="63" totalsRowBorderDxfId="62">
  <autoFilter ref="B5:I6">
    <filterColumn colId="3"/>
    <filterColumn colId="7"/>
  </autoFilter>
  <tableColumns count="8">
    <tableColumn id="1" name="Data" dataDxfId="7"/>
    <tableColumn id="2" name="Valor do Parcelamento" dataDxfId="6"/>
    <tableColumn id="3" name="Tipo" dataDxfId="5"/>
    <tableColumn id="5" name="Banco" dataDxfId="4"/>
    <tableColumn id="6" name="Parcelas Totais" dataDxfId="3"/>
    <tableColumn id="7" name="Parcelas Pagas" dataDxfId="2"/>
    <tableColumn id="8" name="Valor da Parcela" dataDxfId="1"/>
    <tableColumn id="4" name="Valor Restan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</row>
    <row r="3" spans="1:38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</row>
    <row r="4" spans="1:38">
      <c r="A4" s="77"/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</row>
    <row r="5" spans="1:38">
      <c r="A5" s="77"/>
      <c r="B5" s="77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</row>
    <row r="6" spans="1:38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</row>
    <row r="7" spans="1:38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</row>
    <row r="8" spans="1:38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</row>
    <row r="9" spans="1:38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</row>
    <row r="10" spans="1:38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</row>
    <row r="11" spans="1:38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</row>
    <row r="12" spans="1:38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</row>
    <row r="13" spans="1:38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</row>
    <row r="14" spans="1:38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83"/>
      <c r="AA14" s="84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</row>
    <row r="15" spans="1:38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85"/>
      <c r="AA15" s="84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</row>
    <row r="16" spans="1:38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85"/>
      <c r="AA16" s="84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</row>
    <row r="17" spans="1:38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85"/>
      <c r="AA17" s="84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</row>
    <row r="18" spans="1:38">
      <c r="A18" s="77"/>
      <c r="B18" s="77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 t="s">
        <v>32</v>
      </c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</row>
    <row r="19" spans="1:38">
      <c r="A19" s="77"/>
      <c r="B19" s="77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</row>
    <row r="20" spans="1:38">
      <c r="A20" s="77"/>
      <c r="B20" s="77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</row>
    <row r="21" spans="1:38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</row>
    <row r="22" spans="1:38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</row>
    <row r="23" spans="1:38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</row>
    <row r="24" spans="1:38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</row>
    <row r="25" spans="1:38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</row>
    <row r="26" spans="1:38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</row>
    <row r="27" spans="1:38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</row>
    <row r="28" spans="1:38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</row>
    <row r="29" spans="1:38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</row>
    <row r="30" spans="1:38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</row>
    <row r="31" spans="1:38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</row>
    <row r="32" spans="1:38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</row>
    <row r="33" spans="1:38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</row>
    <row r="34" spans="1:38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</row>
    <row r="35" spans="1:38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</row>
    <row r="36" spans="1:38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</row>
    <row r="37" spans="1:38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</row>
    <row r="38" spans="1:38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</row>
    <row r="39" spans="1:38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</row>
    <row r="40" spans="1:38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</row>
    <row r="41" spans="1:38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</row>
    <row r="42" spans="1:38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</row>
    <row r="43" spans="1:38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</row>
    <row r="44" spans="1:38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</row>
    <row r="45" spans="1:38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</row>
    <row r="46" spans="1:38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</row>
    <row r="47" spans="1:38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</row>
    <row r="48" spans="1:38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</row>
    <row r="49" spans="1:38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</row>
    <row r="52" spans="1:38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</row>
    <row r="53" spans="1:38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</row>
    <row r="54" spans="1:38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</row>
    <row r="55" spans="1:38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</row>
    <row r="56" spans="1:38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</row>
    <row r="57" spans="1:38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</row>
    <row r="58" spans="1:38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</row>
    <row r="59" spans="1:38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</row>
    <row r="60" spans="1:38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</row>
    <row r="61" spans="1:38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</row>
    <row r="62" spans="1:38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</row>
    <row r="63" spans="1:38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</row>
    <row r="64" spans="1:38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</row>
    <row r="65" spans="1:38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</row>
    <row r="66" spans="1:38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</row>
    <row r="67" spans="1:38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</row>
    <row r="68" spans="1:38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</row>
    <row r="69" spans="1:38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</row>
    <row r="70" spans="1:38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</row>
    <row r="71" spans="1:38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</row>
    <row r="72" spans="1:38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</row>
    <row r="73" spans="1:38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</row>
    <row r="74" spans="1:38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</row>
    <row r="75" spans="1:38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</row>
    <row r="76" spans="1:38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</row>
    <row r="77" spans="1:38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</row>
    <row r="78" spans="1:38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</row>
    <row r="79" spans="1:38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</row>
    <row r="80" spans="1:38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</row>
    <row r="81" spans="1:38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</row>
    <row r="82" spans="1:38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</row>
    <row r="83" spans="1:38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</row>
    <row r="84" spans="1:38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</row>
    <row r="85" spans="1:38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</row>
    <row r="86" spans="1:38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</row>
    <row r="87" spans="1:38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</row>
    <row r="88" spans="1:38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</row>
    <row r="89" spans="1:38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</row>
    <row r="90" spans="1:38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</row>
    <row r="91" spans="1:38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</row>
    <row r="92" spans="1:38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</row>
    <row r="93" spans="1:38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</row>
    <row r="94" spans="1:38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</row>
    <row r="95" spans="1:38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</row>
    <row r="96" spans="1:38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</row>
    <row r="97" spans="1:38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bestFit="1" customWidth="1"/>
    <col min="17" max="17" width="3.7109375" customWidth="1"/>
    <col min="18" max="18" width="8.42578125" customWidth="1"/>
    <col min="19" max="19" width="8.7109375" customWidth="1"/>
    <col min="20" max="20" width="25.7109375" customWidth="1"/>
    <col min="21" max="21" width="13.85546875" customWidth="1"/>
    <col min="22" max="23" width="19.7109375" customWidth="1"/>
    <col min="24" max="24" width="15.85546875" customWidth="1"/>
    <col min="25" max="25" width="7.42578125" customWidth="1"/>
    <col min="26" max="26" width="9" customWidth="1"/>
    <col min="27" max="27" width="6.85546875" customWidth="1"/>
    <col min="28" max="28" width="10.28515625" bestFit="1" customWidth="1"/>
    <col min="29" max="29" width="3.7109375" customWidth="1"/>
    <col min="31" max="31" width="29.28515625" customWidth="1"/>
    <col min="32" max="32" width="25.7109375" bestFit="1" customWidth="1"/>
    <col min="33" max="33" width="13.85546875" customWidth="1"/>
    <col min="34" max="34" width="15.85546875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bestFit="1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77"/>
      <c r="AC1" s="77"/>
      <c r="AJ1" s="77"/>
      <c r="AR1" s="77"/>
    </row>
    <row r="2" spans="2:53">
      <c r="Q2" s="77"/>
      <c r="AC2" s="77"/>
      <c r="AJ2" s="77"/>
      <c r="AR2" s="77"/>
    </row>
    <row r="3" spans="2:53">
      <c r="Q3" s="77"/>
      <c r="T3" s="76" t="s">
        <v>56</v>
      </c>
      <c r="AC3" s="77"/>
      <c r="AF3" s="76" t="s">
        <v>56</v>
      </c>
      <c r="AJ3" s="77"/>
      <c r="AL3" s="76" t="s">
        <v>59</v>
      </c>
      <c r="AM3" t="s">
        <v>60</v>
      </c>
      <c r="AR3" s="77"/>
      <c r="AU3" s="76" t="s">
        <v>56</v>
      </c>
    </row>
    <row r="4" spans="2:53">
      <c r="C4" s="76" t="s">
        <v>56</v>
      </c>
      <c r="J4" s="42"/>
      <c r="K4" s="42"/>
      <c r="L4" s="42"/>
      <c r="Q4" s="77"/>
      <c r="T4" t="s">
        <v>27</v>
      </c>
      <c r="U4" t="s">
        <v>55</v>
      </c>
      <c r="AC4" s="77"/>
      <c r="AF4" t="s">
        <v>27</v>
      </c>
      <c r="AG4" t="s">
        <v>55</v>
      </c>
      <c r="AJ4" s="77"/>
      <c r="AL4" s="46" t="s">
        <v>27</v>
      </c>
      <c r="AM4" s="47">
        <v>0</v>
      </c>
      <c r="AR4" s="77"/>
      <c r="AU4" t="s">
        <v>61</v>
      </c>
      <c r="AV4" t="s">
        <v>63</v>
      </c>
      <c r="AW4" t="s">
        <v>62</v>
      </c>
      <c r="AX4" t="s">
        <v>70</v>
      </c>
      <c r="AY4" t="s">
        <v>73</v>
      </c>
      <c r="AZ4" t="s">
        <v>72</v>
      </c>
      <c r="BA4" t="s">
        <v>55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72</v>
      </c>
      <c r="I5" t="s">
        <v>55</v>
      </c>
      <c r="J5" s="42"/>
      <c r="K5" s="42"/>
      <c r="L5" s="42"/>
      <c r="Q5" s="77"/>
      <c r="S5" t="s">
        <v>57</v>
      </c>
      <c r="T5" s="1">
        <v>0</v>
      </c>
      <c r="U5" s="1">
        <v>0</v>
      </c>
      <c r="AC5" s="77"/>
      <c r="AE5" t="s">
        <v>58</v>
      </c>
      <c r="AF5" s="1">
        <v>0</v>
      </c>
      <c r="AG5" s="1">
        <v>0</v>
      </c>
      <c r="AJ5" s="77"/>
      <c r="AL5" s="46" t="s">
        <v>55</v>
      </c>
      <c r="AM5" s="47">
        <v>0</v>
      </c>
      <c r="AR5" s="77"/>
      <c r="AT5" t="s">
        <v>65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7">
        <v>0</v>
      </c>
      <c r="J6" s="42"/>
      <c r="K6" s="42"/>
      <c r="L6" s="42"/>
      <c r="Q6" s="77"/>
      <c r="W6" s="46"/>
      <c r="X6" s="47"/>
      <c r="AC6" s="77"/>
      <c r="AJ6" s="77"/>
      <c r="AR6" s="77"/>
    </row>
    <row r="7" spans="2:53">
      <c r="E7" s="42"/>
      <c r="F7" s="42"/>
      <c r="G7" s="42"/>
      <c r="H7" s="42"/>
      <c r="I7" s="42"/>
      <c r="J7" s="42"/>
      <c r="K7" s="42"/>
      <c r="L7" s="42"/>
      <c r="Q7" s="77"/>
      <c r="W7" s="46"/>
      <c r="X7" s="47"/>
      <c r="AC7" s="77"/>
      <c r="AJ7" s="77"/>
      <c r="AR7" s="77"/>
    </row>
    <row r="8" spans="2:53">
      <c r="E8" s="42"/>
      <c r="F8" s="42"/>
      <c r="G8" s="42"/>
      <c r="H8" s="42"/>
      <c r="I8" s="42"/>
      <c r="J8" s="42"/>
      <c r="K8" s="42"/>
      <c r="L8" s="42"/>
      <c r="Q8" s="77"/>
      <c r="AC8" s="77"/>
      <c r="AJ8" s="77"/>
      <c r="AR8" s="77"/>
    </row>
    <row r="9" spans="2:53">
      <c r="E9" s="42"/>
      <c r="F9" s="42"/>
      <c r="G9" s="42"/>
      <c r="H9" s="42"/>
      <c r="I9" s="42"/>
      <c r="J9" s="42"/>
      <c r="K9" s="42"/>
      <c r="L9" s="42"/>
      <c r="Q9" s="77"/>
      <c r="AC9" s="77"/>
      <c r="AJ9" s="77"/>
      <c r="AR9" s="77"/>
    </row>
    <row r="10" spans="2:53">
      <c r="E10" s="42"/>
      <c r="F10" s="42"/>
      <c r="G10" s="42"/>
      <c r="H10" s="42"/>
      <c r="I10" s="42"/>
      <c r="J10" s="42"/>
      <c r="K10" s="42"/>
      <c r="L10" s="42"/>
      <c r="Q10" s="77"/>
      <c r="AC10" s="77"/>
      <c r="AJ10" s="77"/>
      <c r="AR10" s="77"/>
    </row>
    <row r="11" spans="2:53">
      <c r="E11" s="42"/>
      <c r="F11" s="42"/>
      <c r="G11" s="42"/>
      <c r="H11" s="42"/>
      <c r="I11" s="42"/>
      <c r="J11" s="42"/>
      <c r="K11" s="42"/>
      <c r="L11" s="42"/>
      <c r="Q11" s="77"/>
      <c r="AC11" s="77"/>
      <c r="AJ11" s="77"/>
      <c r="AR11" s="77"/>
    </row>
    <row r="12" spans="2:53">
      <c r="E12" s="42"/>
      <c r="F12" s="42"/>
      <c r="G12" s="42"/>
      <c r="H12" s="42"/>
      <c r="I12" s="42"/>
      <c r="J12" s="42"/>
      <c r="K12" s="42"/>
      <c r="L12" s="42"/>
      <c r="Q12" s="77"/>
      <c r="AC12" s="77"/>
      <c r="AJ12" s="77"/>
      <c r="AR12" s="77"/>
    </row>
    <row r="13" spans="2:53">
      <c r="E13" s="42"/>
      <c r="F13" s="42"/>
      <c r="G13" s="42"/>
      <c r="H13" s="42"/>
      <c r="I13" s="42"/>
      <c r="J13" s="42"/>
      <c r="K13" s="42"/>
      <c r="L13" s="42"/>
      <c r="Q13" s="77"/>
      <c r="AC13" s="77"/>
      <c r="AJ13" s="77"/>
      <c r="AR13" s="77"/>
    </row>
    <row r="14" spans="2:53">
      <c r="E14" s="42"/>
      <c r="F14" s="42"/>
      <c r="G14" s="42"/>
      <c r="H14" s="42"/>
      <c r="I14" s="42"/>
      <c r="J14" s="42"/>
      <c r="K14" s="42"/>
      <c r="L14" s="42"/>
      <c r="Q14" s="77"/>
      <c r="AC14" s="77"/>
      <c r="AJ14" s="77"/>
      <c r="AR14" s="77"/>
    </row>
    <row r="15" spans="2:53">
      <c r="E15" s="42"/>
      <c r="F15" s="42"/>
      <c r="G15" s="42"/>
      <c r="H15" s="42"/>
      <c r="I15" s="42"/>
      <c r="J15" s="42"/>
      <c r="K15" s="42"/>
      <c r="L15" s="42"/>
      <c r="Q15" s="77"/>
      <c r="AC15" s="77"/>
      <c r="AJ15" s="77"/>
      <c r="AR15" s="77"/>
    </row>
    <row r="16" spans="2:53">
      <c r="E16" s="42"/>
      <c r="F16" s="42"/>
      <c r="G16" s="42"/>
      <c r="H16" s="42"/>
      <c r="I16" s="42"/>
      <c r="J16" s="42"/>
      <c r="K16" s="42"/>
      <c r="L16" s="42"/>
      <c r="Q16" s="77"/>
      <c r="AC16" s="77"/>
      <c r="AJ16" s="77"/>
      <c r="AR16" s="77"/>
    </row>
    <row r="17" spans="5:44">
      <c r="E17" s="42"/>
      <c r="F17" s="42"/>
      <c r="G17" s="42"/>
      <c r="H17" s="42"/>
      <c r="I17" s="42"/>
      <c r="J17" s="42"/>
      <c r="K17" s="42"/>
      <c r="L17" s="42"/>
      <c r="Q17" s="77"/>
      <c r="AC17" s="77"/>
      <c r="AJ17" s="77"/>
      <c r="AR17" s="77"/>
    </row>
    <row r="18" spans="5:44">
      <c r="E18" s="42"/>
      <c r="F18" s="42"/>
      <c r="G18" s="42"/>
      <c r="H18" s="42"/>
      <c r="I18" s="42"/>
      <c r="J18" s="42"/>
      <c r="K18" s="42"/>
      <c r="L18" s="42"/>
      <c r="Q18" s="77"/>
      <c r="AC18" s="77"/>
      <c r="AJ18" s="77"/>
      <c r="AR18" s="77"/>
    </row>
    <row r="19" spans="5:44">
      <c r="E19" s="42"/>
      <c r="F19" s="42"/>
      <c r="G19" s="42"/>
      <c r="H19" s="42"/>
      <c r="I19" s="42"/>
      <c r="J19" s="42"/>
      <c r="K19" s="42"/>
      <c r="L19" s="42"/>
      <c r="Q19" s="77"/>
      <c r="AC19" s="77"/>
      <c r="AJ19" s="77"/>
      <c r="AR19" s="77"/>
    </row>
    <row r="20" spans="5:44">
      <c r="E20" s="42"/>
      <c r="F20" s="42"/>
      <c r="G20" s="42"/>
      <c r="H20" s="42"/>
      <c r="I20" s="42"/>
      <c r="J20" s="42"/>
      <c r="K20" s="42"/>
      <c r="L20" s="42"/>
      <c r="Q20" s="77"/>
      <c r="AC20" s="77"/>
      <c r="AJ20" s="77"/>
      <c r="AR20" s="77"/>
    </row>
    <row r="21" spans="5:44">
      <c r="E21" s="42"/>
      <c r="F21" s="42"/>
      <c r="G21" s="42"/>
      <c r="H21" s="42"/>
      <c r="I21" s="42"/>
      <c r="J21" s="42"/>
      <c r="K21" s="42"/>
      <c r="L21" s="42"/>
      <c r="Q21" s="77"/>
      <c r="AC21" s="77"/>
      <c r="AJ21" s="77"/>
      <c r="AR21" s="77"/>
    </row>
    <row r="22" spans="5:44">
      <c r="Q22" s="77"/>
      <c r="AC22" s="77"/>
      <c r="AJ22" s="77"/>
      <c r="AR22" s="77"/>
    </row>
    <row r="23" spans="5:44">
      <c r="Q23" s="77"/>
      <c r="AC23" s="77"/>
      <c r="AJ23" s="77"/>
      <c r="AR23" s="77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19"/>
  <sheetViews>
    <sheetView workbookViewId="0">
      <selection activeCell="I16" sqref="I16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7" t="s">
        <v>31</v>
      </c>
      <c r="C2" s="27" t="s">
        <v>26</v>
      </c>
      <c r="D2" s="27" t="s">
        <v>38</v>
      </c>
      <c r="F2" s="37" t="s">
        <v>7</v>
      </c>
      <c r="G2" s="37"/>
      <c r="I2" s="27" t="s">
        <v>6</v>
      </c>
      <c r="J2" s="27" t="s">
        <v>54</v>
      </c>
      <c r="L2" s="41" t="s">
        <v>31</v>
      </c>
      <c r="M2" s="111" t="s">
        <v>36</v>
      </c>
      <c r="N2" s="111"/>
    </row>
    <row r="3" spans="2:14" ht="18.75">
      <c r="B3" s="28">
        <v>0</v>
      </c>
      <c r="C3" s="29" t="s">
        <v>0</v>
      </c>
      <c r="D3" s="50">
        <f>ROUNDDOWN(SUM(Deposito!E6-Saque!H6-Emprestimo!K5+Movimentações!E7),2)</f>
        <v>0</v>
      </c>
      <c r="F3" s="29" t="s">
        <v>0</v>
      </c>
      <c r="G3" s="35" t="e">
        <f>G9*#REF!</f>
        <v>#REF!</v>
      </c>
      <c r="I3" s="22" t="s">
        <v>0</v>
      </c>
      <c r="J3" s="86">
        <v>0</v>
      </c>
      <c r="L3" s="18">
        <v>0</v>
      </c>
      <c r="M3" s="2" t="s">
        <v>0</v>
      </c>
      <c r="N3" s="10">
        <v>1</v>
      </c>
    </row>
    <row r="4" spans="2:14" ht="18.75">
      <c r="B4" s="28">
        <v>1</v>
      </c>
      <c r="C4" s="30" t="s">
        <v>1</v>
      </c>
      <c r="D4" s="50">
        <f>ROUNDDOWN(SUM(Deposito!F6-Saque!I6-Emprestimo!L5+Movimentações!F7),2)</f>
        <v>0</v>
      </c>
      <c r="F4" s="30" t="s">
        <v>1</v>
      </c>
      <c r="G4" s="35" t="e">
        <f>G9*#REF!</f>
        <v>#REF!</v>
      </c>
      <c r="I4" s="23" t="s">
        <v>1</v>
      </c>
      <c r="J4" s="86">
        <v>0</v>
      </c>
      <c r="L4" s="18">
        <v>1</v>
      </c>
      <c r="M4" s="3" t="s">
        <v>1</v>
      </c>
      <c r="N4" s="10">
        <v>5</v>
      </c>
    </row>
    <row r="5" spans="2:14" ht="18.75">
      <c r="B5" s="28">
        <v>0</v>
      </c>
      <c r="C5" s="31" t="s">
        <v>2</v>
      </c>
      <c r="D5" s="50">
        <f>ROUNDDOWN(SUM(Deposito!G6-Saque!J6-Emprestimo!M5+Movimentações!G7),2)</f>
        <v>0</v>
      </c>
      <c r="F5" s="31" t="s">
        <v>2</v>
      </c>
      <c r="G5" s="35">
        <f>G9*K1</f>
        <v>0</v>
      </c>
      <c r="I5" s="24" t="s">
        <v>2</v>
      </c>
      <c r="J5" s="86">
        <v>0</v>
      </c>
      <c r="L5" s="18">
        <v>2</v>
      </c>
      <c r="M5" s="4" t="s">
        <v>2</v>
      </c>
      <c r="N5" s="10">
        <v>2</v>
      </c>
    </row>
    <row r="6" spans="2:14" ht="18.75">
      <c r="B6" s="28">
        <v>3</v>
      </c>
      <c r="C6" s="32" t="s">
        <v>3</v>
      </c>
      <c r="D6" s="50">
        <f>ROUNDDOWN(SUM(Deposito!H6-Saque!K6-Emprestimo!N5+Movimentações!H7),2)</f>
        <v>0</v>
      </c>
      <c r="F6" s="32" t="s">
        <v>3</v>
      </c>
      <c r="G6" s="35" t="e">
        <f>G9*#REF!</f>
        <v>#REF!</v>
      </c>
      <c r="I6" s="25" t="s">
        <v>3</v>
      </c>
      <c r="J6" s="86">
        <v>0</v>
      </c>
      <c r="L6" s="18">
        <v>3</v>
      </c>
      <c r="M6" s="5" t="s">
        <v>3</v>
      </c>
      <c r="N6" s="10">
        <v>4</v>
      </c>
    </row>
    <row r="7" spans="2:14" ht="18.75">
      <c r="B7" s="40">
        <v>4</v>
      </c>
      <c r="C7" s="33" t="s">
        <v>4</v>
      </c>
      <c r="D7" s="50">
        <f>ROUNDDOWN(SUM(Deposito!I6-Saque!L6-Emprestimo!O5+Movimentações!I7),2)</f>
        <v>0</v>
      </c>
      <c r="F7" s="33" t="s">
        <v>4</v>
      </c>
      <c r="G7" s="35">
        <f>G9*K3</f>
        <v>0</v>
      </c>
      <c r="I7" s="26" t="s">
        <v>4</v>
      </c>
      <c r="J7" s="86">
        <v>0</v>
      </c>
      <c r="L7" s="18">
        <v>4</v>
      </c>
      <c r="M7" s="6" t="s">
        <v>4</v>
      </c>
      <c r="N7" s="10">
        <v>3</v>
      </c>
    </row>
    <row r="8" spans="2:14">
      <c r="B8" s="38"/>
      <c r="C8" s="39" t="s">
        <v>9</v>
      </c>
      <c r="D8" s="50">
        <f>ROUNDDOWN(SUM(D3:D7),2)</f>
        <v>0</v>
      </c>
      <c r="F8" s="34" t="s">
        <v>5</v>
      </c>
      <c r="G8" s="36" t="e">
        <f>SUM(#REF!-I14-K26)</f>
        <v>#REF!</v>
      </c>
      <c r="I8" s="53" t="s">
        <v>9</v>
      </c>
      <c r="J8" s="54">
        <f>SUM(J3:J7)</f>
        <v>0</v>
      </c>
    </row>
    <row r="9" spans="2:14">
      <c r="B9" s="51"/>
      <c r="C9" s="93" t="s">
        <v>72</v>
      </c>
      <c r="D9" s="52">
        <v>0</v>
      </c>
    </row>
    <row r="10" spans="2:14" ht="18.75">
      <c r="B10" s="91"/>
      <c r="C10" s="95" t="s">
        <v>70</v>
      </c>
      <c r="D10" s="52">
        <v>0</v>
      </c>
      <c r="L10" s="41" t="s">
        <v>31</v>
      </c>
      <c r="M10" s="111" t="s">
        <v>37</v>
      </c>
      <c r="N10" s="111"/>
    </row>
    <row r="11" spans="2:14" ht="18.75">
      <c r="B11" s="91"/>
      <c r="C11" s="94" t="s">
        <v>71</v>
      </c>
      <c r="D11" s="92">
        <v>0</v>
      </c>
      <c r="F11" s="27" t="s">
        <v>13</v>
      </c>
      <c r="G11" s="27" t="s">
        <v>64</v>
      </c>
      <c r="I11" s="34" t="s">
        <v>74</v>
      </c>
      <c r="J11" s="103" t="s">
        <v>76</v>
      </c>
      <c r="L11" s="18">
        <v>0</v>
      </c>
      <c r="M11" s="2" t="s">
        <v>0</v>
      </c>
      <c r="N11" s="10">
        <v>2</v>
      </c>
    </row>
    <row r="12" spans="2:14" ht="18.75">
      <c r="F12" s="79" t="s">
        <v>61</v>
      </c>
      <c r="G12" s="82">
        <f>ROUNDDOWN(D8+D9 + SUM(Parcelamento[Valor Restante]) - SUM(Parcelamento[Valor da Parcela]),2)</f>
        <v>0</v>
      </c>
      <c r="I12" s="34" t="s">
        <v>75</v>
      </c>
      <c r="J12" s="110"/>
      <c r="L12" s="18">
        <v>1</v>
      </c>
      <c r="M12" s="3" t="s">
        <v>1</v>
      </c>
      <c r="N12" s="10">
        <v>5</v>
      </c>
    </row>
    <row r="13" spans="2:14" ht="18.75">
      <c r="F13" s="79" t="s">
        <v>62</v>
      </c>
      <c r="G13" s="82">
        <f>ROUNDDOWN(D8,2)</f>
        <v>0</v>
      </c>
      <c r="I13" s="106"/>
      <c r="L13" s="18">
        <v>2</v>
      </c>
      <c r="M13" s="4" t="s">
        <v>2</v>
      </c>
      <c r="N13" s="10">
        <v>1</v>
      </c>
    </row>
    <row r="14" spans="2:14" ht="18.75">
      <c r="F14" s="79" t="s">
        <v>63</v>
      </c>
      <c r="G14" s="82">
        <f>ROUNDDOWN(G13+SUM(Devedores[Divida Ativa]),2)</f>
        <v>0</v>
      </c>
      <c r="L14" s="18">
        <v>3</v>
      </c>
      <c r="M14" s="5" t="s">
        <v>3</v>
      </c>
      <c r="N14" s="10">
        <v>4</v>
      </c>
    </row>
    <row r="15" spans="2:14" ht="18.75">
      <c r="F15" s="80" t="s">
        <v>72</v>
      </c>
      <c r="G15" s="81">
        <f>ROUNDDOWN(D9,2)</f>
        <v>0</v>
      </c>
      <c r="L15" s="18">
        <v>4</v>
      </c>
      <c r="M15" s="6" t="s">
        <v>4</v>
      </c>
      <c r="N15" s="10">
        <v>3</v>
      </c>
    </row>
    <row r="16" spans="2:14">
      <c r="F16" s="80" t="s">
        <v>70</v>
      </c>
      <c r="G16" s="81">
        <f>ROUNDDOWN(D10,2)</f>
        <v>0</v>
      </c>
    </row>
    <row r="17" spans="5:7">
      <c r="F17" s="80" t="s">
        <v>73</v>
      </c>
      <c r="G17" s="81">
        <f>ROUNDDOWN(D11,2)</f>
        <v>0</v>
      </c>
    </row>
    <row r="18" spans="5:7">
      <c r="E18" s="78"/>
    </row>
    <row r="19" spans="5:7">
      <c r="E19" s="78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1"/>
  <sheetViews>
    <sheetView zoomScale="70" zoomScaleNormal="70" workbookViewId="0">
      <selection activeCell="B8" sqref="B8:J9"/>
    </sheetView>
  </sheetViews>
  <sheetFormatPr defaultRowHeight="15"/>
  <cols>
    <col min="2" max="2" width="13.85546875" bestFit="1" customWidth="1"/>
    <col min="3" max="3" width="16.28515625" bestFit="1" customWidth="1"/>
    <col min="4" max="4" width="18.28515625" bestFit="1" customWidth="1"/>
    <col min="5" max="5" width="25.28515625" bestFit="1" customWidth="1"/>
    <col min="6" max="6" width="32.5703125" bestFit="1" customWidth="1"/>
    <col min="7" max="7" width="32.42578125" bestFit="1" customWidth="1"/>
    <col min="8" max="8" width="14.85546875" bestFit="1" customWidth="1"/>
    <col min="9" max="9" width="15.7109375" bestFit="1" customWidth="1"/>
    <col min="10" max="10" width="24.28515625" bestFit="1" customWidth="1"/>
    <col min="13" max="13" width="28.140625" bestFit="1" customWidth="1"/>
    <col min="14" max="14" width="12.28515625" customWidth="1"/>
  </cols>
  <sheetData>
    <row r="2" spans="2:10" ht="26.25">
      <c r="B2" s="114" t="s">
        <v>14</v>
      </c>
      <c r="C2" s="115"/>
      <c r="D2" s="115"/>
      <c r="E2" s="115"/>
      <c r="F2" s="115"/>
      <c r="G2" s="115"/>
      <c r="H2" s="115"/>
      <c r="I2" s="115"/>
      <c r="J2" s="116"/>
    </row>
    <row r="3" spans="2:10" ht="23.25">
      <c r="B3" s="117" t="s">
        <v>28</v>
      </c>
      <c r="C3" s="118"/>
      <c r="D3" s="118"/>
      <c r="E3" s="118"/>
      <c r="F3" s="118"/>
      <c r="G3" s="118"/>
      <c r="H3" s="118"/>
      <c r="I3" s="118"/>
      <c r="J3" s="119"/>
    </row>
    <row r="4" spans="2:10" ht="21">
      <c r="B4" s="49" t="s">
        <v>39</v>
      </c>
      <c r="C4" s="49" t="s">
        <v>40</v>
      </c>
      <c r="D4" s="120"/>
      <c r="E4" s="112" t="s">
        <v>29</v>
      </c>
      <c r="F4" s="113"/>
      <c r="G4" s="113"/>
      <c r="H4" s="113"/>
      <c r="I4" s="113"/>
      <c r="J4" s="113"/>
    </row>
    <row r="5" spans="2:10" ht="21" customHeight="1">
      <c r="B5" s="43">
        <f ca="1">C5</f>
        <v>44850</v>
      </c>
      <c r="C5" s="44">
        <f ca="1">TODAY()</f>
        <v>44850</v>
      </c>
      <c r="D5" s="121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22"/>
      <c r="C6" s="123"/>
      <c r="D6" s="124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18.75">
      <c r="B7" s="55" t="s">
        <v>8</v>
      </c>
      <c r="C7" s="56" t="s">
        <v>11</v>
      </c>
      <c r="D7" s="56" t="s">
        <v>12</v>
      </c>
      <c r="E7" s="12" t="s">
        <v>0</v>
      </c>
      <c r="F7" s="13" t="s">
        <v>1</v>
      </c>
      <c r="G7" s="14" t="s">
        <v>2</v>
      </c>
      <c r="H7" s="15" t="s">
        <v>3</v>
      </c>
      <c r="I7" s="16" t="s">
        <v>4</v>
      </c>
      <c r="J7" s="17" t="s">
        <v>10</v>
      </c>
    </row>
    <row r="8" spans="2:10" ht="18.75">
      <c r="B8" s="107" t="s">
        <v>27</v>
      </c>
      <c r="C8" s="108" t="s">
        <v>27</v>
      </c>
      <c r="D8" s="109" t="s">
        <v>27</v>
      </c>
      <c r="E8" s="108" t="s">
        <v>27</v>
      </c>
      <c r="F8" s="108" t="s">
        <v>27</v>
      </c>
      <c r="G8" s="108" t="s">
        <v>27</v>
      </c>
      <c r="H8" s="108" t="s">
        <v>27</v>
      </c>
      <c r="I8" s="108" t="s">
        <v>27</v>
      </c>
      <c r="J8" s="108" t="s">
        <v>27</v>
      </c>
    </row>
    <row r="21" spans="13:14">
      <c r="M21" s="42"/>
      <c r="N21" s="42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H26" sqref="H26"/>
    </sheetView>
  </sheetViews>
  <sheetFormatPr defaultRowHeight="15"/>
  <cols>
    <col min="1" max="1" width="8.7109375" customWidth="1"/>
    <col min="2" max="2" width="20.28515625" customWidth="1"/>
    <col min="3" max="3" width="16.28515625" bestFit="1" customWidth="1"/>
    <col min="4" max="4" width="18.28515625" bestFit="1" customWidth="1"/>
    <col min="5" max="5" width="24.28515625" bestFit="1" customWidth="1"/>
    <col min="6" max="6" width="12.5703125" bestFit="1" customWidth="1"/>
    <col min="7" max="7" width="14.42578125" bestFit="1" customWidth="1"/>
    <col min="8" max="8" width="25.28515625" bestFit="1" customWidth="1"/>
    <col min="9" max="9" width="32.5703125" customWidth="1"/>
    <col min="10" max="10" width="32.42578125" bestFit="1" customWidth="1"/>
    <col min="11" max="11" width="14.85546875" bestFit="1" customWidth="1"/>
    <col min="12" max="12" width="15.7109375" bestFit="1" customWidth="1"/>
    <col min="13" max="13" width="20.7109375" customWidth="1"/>
    <col min="16" max="16" width="6.28515625" bestFit="1" customWidth="1"/>
    <col min="18" max="18" width="24.5703125" bestFit="1" customWidth="1"/>
  </cols>
  <sheetData>
    <row r="2" spans="2:18" ht="31.5">
      <c r="B2" s="128" t="s">
        <v>14</v>
      </c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7"/>
      <c r="P2" s="129" t="s">
        <v>30</v>
      </c>
      <c r="Q2" s="129"/>
      <c r="R2" s="129"/>
    </row>
    <row r="3" spans="2:18" ht="23.25">
      <c r="B3" s="118" t="s">
        <v>23</v>
      </c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P3" s="9" t="s">
        <v>11</v>
      </c>
      <c r="Q3" s="130">
        <v>0</v>
      </c>
      <c r="R3" s="131"/>
    </row>
    <row r="4" spans="2:18" ht="21">
      <c r="B4" s="49" t="s">
        <v>39</v>
      </c>
      <c r="C4" s="49" t="s">
        <v>40</v>
      </c>
      <c r="D4" s="65"/>
      <c r="E4" s="65"/>
      <c r="F4" s="65"/>
      <c r="G4" s="65"/>
      <c r="H4" s="125" t="s">
        <v>19</v>
      </c>
      <c r="I4" s="126"/>
      <c r="J4" s="126"/>
      <c r="K4" s="126"/>
      <c r="L4" s="126"/>
      <c r="M4" s="127"/>
    </row>
    <row r="5" spans="2:18" ht="21" customHeight="1">
      <c r="B5" s="43">
        <f ca="1">C5</f>
        <v>44850</v>
      </c>
      <c r="C5" s="44">
        <f ca="1">TODAY()</f>
        <v>44850</v>
      </c>
      <c r="D5" s="67"/>
      <c r="E5" s="67"/>
      <c r="F5" s="67"/>
      <c r="G5" s="67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67"/>
      <c r="C6" s="67"/>
      <c r="D6" s="67"/>
      <c r="E6" s="67"/>
      <c r="F6" s="67"/>
      <c r="G6" s="67">
        <f>SUM(Saque[Gastos Pessoais])</f>
        <v>0</v>
      </c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18.75">
      <c r="B7" s="62" t="s">
        <v>24</v>
      </c>
      <c r="C7" s="63" t="s">
        <v>11</v>
      </c>
      <c r="D7" s="63" t="s">
        <v>12</v>
      </c>
      <c r="E7" s="63" t="s">
        <v>48</v>
      </c>
      <c r="F7" s="63" t="s">
        <v>13</v>
      </c>
      <c r="G7" s="63" t="s">
        <v>68</v>
      </c>
      <c r="H7" s="12" t="s">
        <v>0</v>
      </c>
      <c r="I7" s="13" t="s">
        <v>1</v>
      </c>
      <c r="J7" s="14" t="s">
        <v>2</v>
      </c>
      <c r="K7" s="15" t="s">
        <v>3</v>
      </c>
      <c r="L7" s="16" t="s">
        <v>4</v>
      </c>
      <c r="M7" s="17" t="s">
        <v>25</v>
      </c>
    </row>
    <row r="8" spans="2:18" ht="21">
      <c r="B8" s="101" t="s">
        <v>27</v>
      </c>
      <c r="C8" s="96" t="s">
        <v>27</v>
      </c>
      <c r="D8" s="100" t="s">
        <v>27</v>
      </c>
      <c r="E8" s="97" t="s">
        <v>27</v>
      </c>
      <c r="F8" s="97" t="s">
        <v>27</v>
      </c>
      <c r="G8" s="97" t="s">
        <v>27</v>
      </c>
      <c r="H8" s="96" t="s">
        <v>27</v>
      </c>
      <c r="I8" s="96" t="s">
        <v>27</v>
      </c>
      <c r="J8" s="96" t="s">
        <v>27</v>
      </c>
      <c r="K8" s="96" t="s">
        <v>27</v>
      </c>
      <c r="L8" s="96" t="s">
        <v>27</v>
      </c>
      <c r="M8" s="102" t="s">
        <v>27</v>
      </c>
      <c r="R8" s="45" t="s">
        <v>47</v>
      </c>
    </row>
    <row r="9" spans="2:18">
      <c r="C9" t="s">
        <v>32</v>
      </c>
      <c r="J9" s="19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7"/>
  <sheetViews>
    <sheetView zoomScale="85" zoomScaleNormal="85" workbookViewId="0">
      <selection activeCell="V12" sqref="V12"/>
    </sheetView>
  </sheetViews>
  <sheetFormatPr defaultRowHeight="15"/>
  <cols>
    <col min="2" max="2" width="16.42578125" bestFit="1" customWidth="1"/>
    <col min="3" max="3" width="20.85546875" bestFit="1" customWidth="1"/>
    <col min="4" max="4" width="26.7109375" bestFit="1" customWidth="1"/>
    <col min="5" max="5" width="35.140625" bestFit="1" customWidth="1"/>
    <col min="6" max="6" width="31.28515625" bestFit="1" customWidth="1"/>
    <col min="7" max="7" width="23.7109375" bestFit="1" customWidth="1"/>
    <col min="8" max="8" width="11.5703125" bestFit="1" customWidth="1"/>
    <col min="9" max="9" width="13.5703125" bestFit="1" customWidth="1"/>
    <col min="10" max="10" width="17.42578125" bestFit="1" customWidth="1"/>
    <col min="11" max="11" width="24.28515625" bestFit="1" customWidth="1"/>
    <col min="12" max="12" width="32.5703125" bestFit="1" customWidth="1"/>
    <col min="13" max="13" width="32.28515625" bestFit="1" customWidth="1"/>
    <col min="14" max="14" width="13.5703125" bestFit="1" customWidth="1"/>
    <col min="15" max="15" width="14.5703125" bestFit="1" customWidth="1"/>
    <col min="16" max="16" width="27.140625" bestFit="1" customWidth="1"/>
    <col min="17" max="17" width="24.85546875" bestFit="1" customWidth="1"/>
    <col min="18" max="18" width="30.5703125" bestFit="1" customWidth="1"/>
    <col min="20" max="20" width="7.42578125" bestFit="1" customWidth="1"/>
    <col min="21" max="21" width="13.42578125" bestFit="1" customWidth="1"/>
    <col min="22" max="22" width="20.42578125" bestFit="1" customWidth="1"/>
    <col min="23" max="23" width="25.28515625" bestFit="1" customWidth="1"/>
    <col min="24" max="24" width="8.7109375" customWidth="1"/>
    <col min="25" max="25" width="28.140625" bestFit="1" customWidth="1"/>
  </cols>
  <sheetData>
    <row r="2" spans="2:23" ht="31.5">
      <c r="B2" s="133" t="s">
        <v>14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21"/>
    </row>
    <row r="3" spans="2:23" ht="23.25">
      <c r="B3" s="132" t="s">
        <v>22</v>
      </c>
      <c r="C3" s="132"/>
      <c r="D3" s="132"/>
      <c r="E3" s="132"/>
      <c r="F3" s="132"/>
      <c r="G3" s="132"/>
      <c r="H3" s="132"/>
      <c r="I3" s="132"/>
      <c r="J3" s="132"/>
      <c r="K3" s="118" t="s">
        <v>19</v>
      </c>
      <c r="L3" s="118"/>
      <c r="M3" s="118"/>
      <c r="N3" s="118"/>
      <c r="O3" s="118"/>
      <c r="P3" s="118"/>
      <c r="Q3" s="118" t="s">
        <v>35</v>
      </c>
      <c r="R3" s="118"/>
    </row>
    <row r="4" spans="2:23" ht="21">
      <c r="B4" s="49" t="s">
        <v>39</v>
      </c>
      <c r="C4" s="49" t="s">
        <v>40</v>
      </c>
      <c r="D4" s="65"/>
      <c r="E4" s="65"/>
      <c r="F4" s="65"/>
      <c r="G4" s="65"/>
      <c r="H4" s="65"/>
      <c r="I4" s="65"/>
      <c r="J4" s="48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20"/>
      <c r="R4" s="20"/>
    </row>
    <row r="5" spans="2:23" ht="23.25">
      <c r="B5" s="43">
        <f ca="1">C5</f>
        <v>44850</v>
      </c>
      <c r="C5" s="44">
        <f ca="1">TODAY()</f>
        <v>44850</v>
      </c>
      <c r="D5" s="68"/>
      <c r="E5" s="68"/>
      <c r="F5" s="68"/>
      <c r="G5" s="68"/>
      <c r="H5" s="68"/>
      <c r="I5" s="68"/>
      <c r="J5" s="69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65"/>
      <c r="R5" s="65"/>
      <c r="U5" s="134" t="s">
        <v>43</v>
      </c>
      <c r="V5" s="135"/>
      <c r="W5" s="136"/>
    </row>
    <row r="6" spans="2:23" ht="18.75">
      <c r="B6" s="62" t="s">
        <v>17</v>
      </c>
      <c r="C6" s="63" t="s">
        <v>21</v>
      </c>
      <c r="D6" s="63" t="s">
        <v>18</v>
      </c>
      <c r="E6" s="63" t="s">
        <v>16</v>
      </c>
      <c r="F6" s="63" t="s">
        <v>33</v>
      </c>
      <c r="G6" s="63" t="s">
        <v>48</v>
      </c>
      <c r="H6" s="63" t="s">
        <v>13</v>
      </c>
      <c r="I6" s="63" t="s">
        <v>68</v>
      </c>
      <c r="J6" s="63" t="s">
        <v>12</v>
      </c>
      <c r="K6" s="2" t="s">
        <v>0</v>
      </c>
      <c r="L6" s="3" t="s">
        <v>1</v>
      </c>
      <c r="M6" s="4" t="s">
        <v>2</v>
      </c>
      <c r="N6" s="5" t="s">
        <v>3</v>
      </c>
      <c r="O6" s="6" t="s">
        <v>4</v>
      </c>
      <c r="P6" s="66" t="s">
        <v>20</v>
      </c>
      <c r="Q6" s="63" t="s">
        <v>15</v>
      </c>
      <c r="R6" s="64" t="s">
        <v>34</v>
      </c>
      <c r="U6" s="62" t="s">
        <v>44</v>
      </c>
      <c r="V6" s="63" t="s">
        <v>45</v>
      </c>
      <c r="W6" s="64" t="s">
        <v>46</v>
      </c>
    </row>
    <row r="7" spans="2:23" ht="18.75">
      <c r="B7" s="99" t="s">
        <v>27</v>
      </c>
      <c r="C7" s="97" t="s">
        <v>27</v>
      </c>
      <c r="D7" s="98" t="s">
        <v>27</v>
      </c>
      <c r="E7" s="98" t="s">
        <v>27</v>
      </c>
      <c r="F7" s="96" t="s">
        <v>27</v>
      </c>
      <c r="G7" s="99" t="s">
        <v>27</v>
      </c>
      <c r="H7" s="96" t="s">
        <v>27</v>
      </c>
      <c r="I7" s="96" t="s">
        <v>27</v>
      </c>
      <c r="J7" s="100" t="s">
        <v>27</v>
      </c>
      <c r="K7" s="96" t="s">
        <v>27</v>
      </c>
      <c r="L7" s="96" t="s">
        <v>27</v>
      </c>
      <c r="M7" s="96" t="s">
        <v>27</v>
      </c>
      <c r="N7" s="96" t="s">
        <v>27</v>
      </c>
      <c r="O7" s="96" t="s">
        <v>27</v>
      </c>
      <c r="P7" s="96" t="s">
        <v>27</v>
      </c>
      <c r="Q7" s="98" t="s">
        <v>27</v>
      </c>
      <c r="R7" s="96" t="s">
        <v>27</v>
      </c>
      <c r="U7" s="96" t="s">
        <v>27</v>
      </c>
      <c r="V7" s="96" t="s">
        <v>27</v>
      </c>
      <c r="W7" s="96" t="s">
        <v>27</v>
      </c>
    </row>
  </sheetData>
  <sheetProtection sheet="1" objects="1" scenarios="1" sort="0" autoFilter="0"/>
  <mergeCells count="5">
    <mergeCell ref="K3:P3"/>
    <mergeCell ref="B3:J3"/>
    <mergeCell ref="Q3:R3"/>
    <mergeCell ref="B2:R2"/>
    <mergeCell ref="U5:W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24" sqref="G24"/>
    </sheetView>
  </sheetViews>
  <sheetFormatPr defaultRowHeight="15"/>
  <cols>
    <col min="2" max="2" width="13.42578125" bestFit="1" customWidth="1"/>
    <col min="3" max="3" width="16.28515625" bestFit="1" customWidth="1"/>
    <col min="4" max="4" width="11.5703125" bestFit="1" customWidth="1"/>
    <col min="5" max="5" width="21.85546875" bestFit="1" customWidth="1"/>
    <col min="6" max="6" width="29.85546875" bestFit="1" customWidth="1"/>
    <col min="7" max="7" width="29.5703125" bestFit="1" customWidth="1"/>
    <col min="8" max="8" width="10.85546875" bestFit="1" customWidth="1"/>
    <col min="9" max="9" width="11.85546875" bestFit="1" customWidth="1"/>
  </cols>
  <sheetData>
    <row r="3" spans="2:9" ht="26.25">
      <c r="B3" s="137" t="s">
        <v>14</v>
      </c>
      <c r="C3" s="138"/>
      <c r="D3" s="138"/>
      <c r="E3" s="138"/>
      <c r="F3" s="138"/>
      <c r="G3" s="138"/>
      <c r="H3" s="138"/>
      <c r="I3" s="138"/>
    </row>
    <row r="4" spans="2:9" ht="23.25">
      <c r="B4" s="132" t="s">
        <v>41</v>
      </c>
      <c r="C4" s="132"/>
      <c r="D4" s="132"/>
      <c r="E4" s="132"/>
      <c r="F4" s="132"/>
      <c r="G4" s="132"/>
      <c r="H4" s="132"/>
      <c r="I4" s="132"/>
    </row>
    <row r="5" spans="2:9" ht="21">
      <c r="B5" s="49" t="s">
        <v>39</v>
      </c>
      <c r="C5" s="49" t="s">
        <v>40</v>
      </c>
      <c r="D5" s="122"/>
      <c r="E5" s="112" t="s">
        <v>42</v>
      </c>
      <c r="F5" s="113"/>
      <c r="G5" s="113"/>
      <c r="H5" s="113"/>
      <c r="I5" s="113"/>
    </row>
    <row r="6" spans="2:9" ht="21">
      <c r="B6" s="43">
        <f ca="1">C6</f>
        <v>44850</v>
      </c>
      <c r="C6" s="44">
        <f ca="1">TODAY()</f>
        <v>44850</v>
      </c>
      <c r="D6" s="122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22"/>
      <c r="C7" s="123"/>
      <c r="D7" s="123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18.75">
      <c r="B8" s="55" t="s">
        <v>8</v>
      </c>
      <c r="C8" s="56" t="s">
        <v>11</v>
      </c>
      <c r="D8" s="56" t="s">
        <v>13</v>
      </c>
      <c r="E8" s="57" t="s">
        <v>0</v>
      </c>
      <c r="F8" s="58" t="s">
        <v>1</v>
      </c>
      <c r="G8" s="59" t="s">
        <v>2</v>
      </c>
      <c r="H8" s="60" t="s">
        <v>3</v>
      </c>
      <c r="I8" s="61" t="s">
        <v>4</v>
      </c>
    </row>
    <row r="9" spans="2:9" ht="18.75">
      <c r="B9" s="74" t="s">
        <v>27</v>
      </c>
      <c r="C9" s="75" t="s">
        <v>27</v>
      </c>
      <c r="D9" s="75" t="s">
        <v>27</v>
      </c>
      <c r="E9" s="75" t="s">
        <v>27</v>
      </c>
      <c r="F9" s="75" t="s">
        <v>27</v>
      </c>
      <c r="G9" s="75" t="s">
        <v>27</v>
      </c>
      <c r="H9" s="75" t="s">
        <v>27</v>
      </c>
      <c r="I9" s="75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workbookViewId="0">
      <selection activeCell="B9" sqref="B9:F9"/>
    </sheetView>
  </sheetViews>
  <sheetFormatPr defaultRowHeight="15"/>
  <cols>
    <col min="2" max="2" width="24.7109375" bestFit="1" customWidth="1"/>
    <col min="3" max="3" width="16.28515625" bestFit="1" customWidth="1"/>
    <col min="4" max="4" width="16.85546875" bestFit="1" customWidth="1"/>
    <col min="5" max="5" width="10.7109375" bestFit="1" customWidth="1"/>
    <col min="6" max="6" width="15.5703125" bestFit="1" customWidth="1"/>
  </cols>
  <sheetData>
    <row r="3" spans="2:6" ht="31.5">
      <c r="B3" s="140" t="s">
        <v>14</v>
      </c>
      <c r="C3" s="140"/>
      <c r="D3" s="140"/>
      <c r="E3" s="140"/>
      <c r="F3" s="140"/>
    </row>
    <row r="4" spans="2:6" ht="23.25">
      <c r="B4" s="139" t="s">
        <v>35</v>
      </c>
      <c r="C4" s="139"/>
      <c r="D4" s="139"/>
      <c r="E4" s="139"/>
      <c r="F4" s="139"/>
    </row>
    <row r="5" spans="2:6" ht="21">
      <c r="B5" s="49" t="s">
        <v>39</v>
      </c>
      <c r="C5" s="49" t="s">
        <v>40</v>
      </c>
      <c r="D5" s="123"/>
      <c r="E5" s="123"/>
      <c r="F5" s="123"/>
    </row>
    <row r="6" spans="2:6" ht="21">
      <c r="B6" s="43">
        <f ca="1">C6</f>
        <v>44850</v>
      </c>
      <c r="C6" s="44">
        <f ca="1">TODAY()</f>
        <v>44850</v>
      </c>
      <c r="D6" s="123"/>
      <c r="E6" s="123"/>
      <c r="F6" s="123"/>
    </row>
    <row r="7" spans="2:6" ht="21">
      <c r="B7" s="67"/>
      <c r="C7" s="67"/>
      <c r="D7" s="123"/>
      <c r="E7" s="123"/>
      <c r="F7" s="123"/>
    </row>
    <row r="8" spans="2:6" ht="18.75">
      <c r="B8" s="90" t="s">
        <v>67</v>
      </c>
      <c r="C8" s="89" t="s">
        <v>11</v>
      </c>
      <c r="D8" s="89" t="s">
        <v>12</v>
      </c>
      <c r="E8" s="89" t="s">
        <v>13</v>
      </c>
      <c r="F8" s="89" t="s">
        <v>69</v>
      </c>
    </row>
    <row r="9" spans="2:6" ht="18.75">
      <c r="B9" s="104" t="s">
        <v>27</v>
      </c>
      <c r="C9" s="96" t="s">
        <v>27</v>
      </c>
      <c r="D9" s="100" t="s">
        <v>27</v>
      </c>
      <c r="E9" s="97" t="s">
        <v>27</v>
      </c>
      <c r="F9" s="10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I6"/>
  <sheetViews>
    <sheetView zoomScaleNormal="100" workbookViewId="0">
      <selection activeCell="B6" sqref="B6:I8"/>
    </sheetView>
  </sheetViews>
  <sheetFormatPr defaultRowHeight="15"/>
  <cols>
    <col min="2" max="2" width="13.42578125" bestFit="1" customWidth="1"/>
    <col min="3" max="3" width="32.140625" bestFit="1" customWidth="1"/>
    <col min="4" max="4" width="14" bestFit="1" customWidth="1"/>
    <col min="5" max="5" width="12.7109375" bestFit="1" customWidth="1"/>
    <col min="6" max="6" width="23" bestFit="1" customWidth="1"/>
    <col min="7" max="7" width="22.5703125" bestFit="1" customWidth="1"/>
    <col min="8" max="8" width="24.28515625" bestFit="1" customWidth="1"/>
    <col min="9" max="9" width="23" bestFit="1" customWidth="1"/>
  </cols>
  <sheetData>
    <row r="2" spans="2:9" ht="26.25">
      <c r="B2" s="137" t="s">
        <v>14</v>
      </c>
      <c r="C2" s="137"/>
      <c r="D2" s="137"/>
      <c r="E2" s="137"/>
      <c r="F2" s="137"/>
      <c r="G2" s="137"/>
      <c r="H2" s="137"/>
      <c r="I2" s="137"/>
    </row>
    <row r="3" spans="2:9" ht="23.25">
      <c r="B3" s="132" t="s">
        <v>50</v>
      </c>
      <c r="C3" s="132"/>
      <c r="D3" s="132"/>
      <c r="E3" s="132"/>
      <c r="F3" s="132"/>
      <c r="G3" s="132"/>
      <c r="H3" s="132"/>
      <c r="I3" s="132"/>
    </row>
    <row r="4" spans="2:9" ht="21">
      <c r="B4" s="70" t="s">
        <v>39</v>
      </c>
      <c r="C4" s="43">
        <f ca="1">F4</f>
        <v>44850</v>
      </c>
      <c r="D4" s="70" t="s">
        <v>40</v>
      </c>
      <c r="E4" s="70"/>
      <c r="F4" s="44">
        <f ca="1">TODAY()</f>
        <v>44850</v>
      </c>
      <c r="G4" s="73"/>
      <c r="H4" s="73"/>
      <c r="I4" s="73"/>
    </row>
    <row r="5" spans="2:9" ht="18.75">
      <c r="B5" s="72" t="s">
        <v>8</v>
      </c>
      <c r="C5" s="56" t="s">
        <v>51</v>
      </c>
      <c r="D5" s="56" t="s">
        <v>13</v>
      </c>
      <c r="E5" s="56" t="s">
        <v>68</v>
      </c>
      <c r="F5" s="56" t="s">
        <v>48</v>
      </c>
      <c r="G5" s="56" t="s">
        <v>49</v>
      </c>
      <c r="H5" s="56" t="s">
        <v>52</v>
      </c>
      <c r="I5" s="71" t="s">
        <v>53</v>
      </c>
    </row>
    <row r="6" spans="2:9" ht="18.75">
      <c r="B6" s="87" t="s">
        <v>27</v>
      </c>
      <c r="C6" s="75" t="s">
        <v>27</v>
      </c>
      <c r="D6" s="75" t="s">
        <v>27</v>
      </c>
      <c r="E6" s="75" t="s">
        <v>27</v>
      </c>
      <c r="F6" s="88" t="s">
        <v>27</v>
      </c>
      <c r="G6" s="88" t="s">
        <v>27</v>
      </c>
      <c r="H6" s="75" t="s">
        <v>27</v>
      </c>
      <c r="I6" s="75" t="s">
        <v>27</v>
      </c>
    </row>
  </sheetData>
  <sheetProtection sheet="1" objects="1" scenarios="1" sort="0" autoFilter="0"/>
  <mergeCells count="2">
    <mergeCell ref="B2:I2"/>
    <mergeCell ref="B3:I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2022-10-17T01:48:50Z</dcterms:modified>
</cp:coreProperties>
</file>